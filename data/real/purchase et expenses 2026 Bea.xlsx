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ownloads\iConsult\ESP clients\other clients\SHIMIRWA\docs for financial reports\"/>
    </mc:Choice>
  </mc:AlternateContent>
  <xr:revisionPtr revIDLastSave="0" documentId="13_ncr:1_{C6997491-7286-49BA-811D-D7AD846BAB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0" r:id="rId1"/>
    <sheet name="JAN FEB MARC" sheetId="1" r:id="rId2"/>
    <sheet name="control formule" sheetId="6" r:id="rId3"/>
    <sheet name="IBIKENEWE MU KWIGA" sheetId="8" r:id="rId4"/>
    <sheet name="APRIL, MAY JUN" sheetId="7" r:id="rId5"/>
    <sheet name="JULY AUG SEPT " sheetId="3" r:id="rId6"/>
    <sheet name="OCT NOV DEC" sheetId="4" r:id="rId7"/>
    <sheet name="ANNUAL REPORT" sheetId="5" r:id="rId8"/>
    <sheet name="UNCONTROLED 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  <c r="C39" i="10"/>
  <c r="C38" i="10"/>
  <c r="C37" i="10"/>
  <c r="C36" i="10"/>
  <c r="C35" i="10"/>
  <c r="C34" i="10"/>
  <c r="C33" i="10"/>
  <c r="C32" i="10"/>
  <c r="C31" i="10"/>
  <c r="C30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B19" i="10"/>
  <c r="D18" i="10"/>
  <c r="C18" i="10"/>
  <c r="B18" i="10"/>
  <c r="F170" i="5"/>
  <c r="F121" i="5"/>
  <c r="F86" i="5"/>
  <c r="F59" i="5"/>
  <c r="I10" i="8"/>
  <c r="I9" i="8"/>
  <c r="G10" i="8"/>
  <c r="G9" i="8"/>
  <c r="G7" i="8"/>
  <c r="F223" i="3"/>
  <c r="D223" i="3"/>
  <c r="D221" i="3"/>
  <c r="D220" i="3"/>
  <c r="F176" i="3"/>
  <c r="D176" i="3"/>
  <c r="D174" i="3"/>
  <c r="D173" i="3"/>
  <c r="F109" i="3"/>
  <c r="D109" i="3"/>
  <c r="D107" i="3"/>
  <c r="D106" i="3"/>
  <c r="D55" i="3"/>
  <c r="E48" i="3"/>
  <c r="E49" i="3"/>
  <c r="E47" i="3"/>
  <c r="E46" i="3"/>
  <c r="D7" i="9"/>
  <c r="G157" i="5"/>
  <c r="G114" i="5"/>
  <c r="F48" i="5"/>
  <c r="G39" i="5"/>
  <c r="G54" i="5"/>
  <c r="G74" i="5"/>
  <c r="F85" i="5" l="1"/>
  <c r="G119" i="7"/>
  <c r="F119" i="7"/>
  <c r="F173" i="7" s="1"/>
  <c r="F350" i="3"/>
  <c r="E217" i="3"/>
  <c r="E223" i="3" s="1"/>
  <c r="C217" i="3"/>
  <c r="E170" i="3"/>
  <c r="E176" i="3" s="1"/>
  <c r="C170" i="3"/>
  <c r="E103" i="3"/>
  <c r="E109" i="3" s="1"/>
  <c r="I104" i="3" s="1"/>
  <c r="C103" i="3"/>
  <c r="H68" i="3"/>
  <c r="C49" i="3"/>
  <c r="E55" i="3"/>
  <c r="F55" i="3" s="1"/>
  <c r="D57" i="3" s="1"/>
  <c r="I68" i="7"/>
  <c r="F103" i="7"/>
  <c r="E48" i="7"/>
  <c r="E49" i="7"/>
  <c r="E109" i="7"/>
  <c r="E103" i="7"/>
  <c r="C103" i="7"/>
  <c r="E101" i="7"/>
  <c r="F178" i="3" l="1"/>
  <c r="I21" i="7"/>
  <c r="C13" i="6" l="1"/>
  <c r="C14" i="6"/>
  <c r="G16" i="6"/>
  <c r="H17" i="6" s="1"/>
  <c r="H21" i="6"/>
  <c r="G42" i="7"/>
  <c r="G45" i="7" s="1"/>
  <c r="F26" i="6"/>
  <c r="I143" i="1"/>
  <c r="G166" i="1"/>
  <c r="G353" i="7"/>
  <c r="E226" i="7"/>
  <c r="F220" i="7"/>
  <c r="F226" i="7" s="1"/>
  <c r="E220" i="7"/>
  <c r="C220" i="7"/>
  <c r="E219" i="7"/>
  <c r="E218" i="7"/>
  <c r="E179" i="7"/>
  <c r="F179" i="7"/>
  <c r="E173" i="7"/>
  <c r="C173" i="7"/>
  <c r="E171" i="7"/>
  <c r="E55" i="7"/>
  <c r="C49" i="7"/>
  <c r="I22" i="7" s="1"/>
  <c r="I24" i="7" s="1"/>
  <c r="E47" i="7"/>
  <c r="F46" i="7"/>
  <c r="F55" i="7" s="1"/>
  <c r="G179" i="7" l="1"/>
  <c r="G55" i="7"/>
  <c r="E57" i="7" s="1"/>
  <c r="G226" i="7"/>
  <c r="E228" i="7" s="1"/>
  <c r="G8" i="1"/>
  <c r="G27" i="1"/>
  <c r="G50" i="1"/>
  <c r="G55" i="1"/>
  <c r="E181" i="7" l="1"/>
  <c r="G181" i="7"/>
  <c r="G56" i="1"/>
  <c r="E121" i="1"/>
  <c r="F169" i="1"/>
  <c r="F175" i="1" s="1"/>
  <c r="E167" i="1"/>
  <c r="E168" i="1"/>
  <c r="C169" i="1"/>
  <c r="I144" i="1" s="1"/>
  <c r="I146" i="1" s="1"/>
  <c r="E169" i="1"/>
  <c r="E175" i="1"/>
  <c r="I76" i="1"/>
  <c r="I21" i="1"/>
  <c r="F8" i="1"/>
  <c r="F56" i="1" s="1"/>
  <c r="E127" i="1"/>
  <c r="C121" i="1"/>
  <c r="I77" i="1" s="1"/>
  <c r="E120" i="1"/>
  <c r="E119" i="1"/>
  <c r="C60" i="1"/>
  <c r="I22" i="1" s="1"/>
  <c r="E66" i="1"/>
  <c r="E60" i="1"/>
  <c r="F121" i="1" l="1"/>
  <c r="F127" i="1" s="1"/>
  <c r="G127" i="1" s="1"/>
  <c r="E129" i="1" s="1"/>
  <c r="G175" i="1"/>
  <c r="E177" i="1" s="1"/>
  <c r="I24" i="1"/>
  <c r="I78" i="1"/>
  <c r="E58" i="1"/>
  <c r="A15" i="6" l="1"/>
  <c r="I8" i="8"/>
  <c r="I11" i="8"/>
  <c r="I12" i="8"/>
  <c r="I13" i="8"/>
  <c r="I14" i="8"/>
  <c r="I15" i="8"/>
  <c r="I16" i="8"/>
  <c r="I6" i="8"/>
  <c r="M6" i="8"/>
  <c r="M7" i="8"/>
  <c r="M8" i="8"/>
  <c r="M9" i="8"/>
  <c r="M10" i="8"/>
  <c r="M12" i="8"/>
  <c r="M13" i="8"/>
  <c r="M14" i="8"/>
  <c r="M15" i="8"/>
  <c r="M16" i="8"/>
  <c r="M17" i="8"/>
  <c r="M18" i="8"/>
  <c r="M19" i="8"/>
  <c r="M20" i="8"/>
  <c r="M21" i="8"/>
  <c r="M11" i="8"/>
  <c r="E11" i="8"/>
  <c r="E13" i="8"/>
  <c r="E14" i="8"/>
  <c r="E15" i="8"/>
  <c r="E12" i="8"/>
  <c r="E8" i="8"/>
  <c r="E9" i="8"/>
  <c r="E10" i="8"/>
  <c r="C12" i="6"/>
  <c r="E18" i="8" l="1"/>
  <c r="E19" i="8"/>
  <c r="E20" i="8"/>
  <c r="E21" i="8"/>
  <c r="E7" i="8" l="1"/>
  <c r="E6" i="8"/>
  <c r="E22" i="8" l="1"/>
  <c r="G18" i="8"/>
  <c r="G19" i="8" s="1"/>
  <c r="G20" i="8" s="1"/>
  <c r="G21" i="8" s="1"/>
  <c r="I7" i="8" l="1"/>
  <c r="C11" i="6"/>
  <c r="F66" i="1" l="1"/>
  <c r="G66" i="1" l="1"/>
  <c r="E68" i="1" s="1"/>
  <c r="C8" i="6" l="1"/>
  <c r="C9" i="6"/>
  <c r="C10" i="6"/>
  <c r="C7" i="6"/>
  <c r="C19" i="6" l="1"/>
  <c r="E7" i="6" l="1"/>
  <c r="E10" i="6" l="1"/>
  <c r="E16" i="6" s="1"/>
  <c r="G302" i="1" l="1"/>
  <c r="E59" i="1" l="1"/>
  <c r="F109" i="7"/>
  <c r="G109" i="7" l="1"/>
  <c r="E111" i="7" s="1"/>
  <c r="J10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MUKIZA Jean</author>
  </authors>
  <commentList>
    <comment ref="F59" authorId="0" shapeId="0" xr:uid="{74B41EFA-6618-4ABD-9EFF-2B94F1388B2F}">
      <text>
        <r>
          <rPr>
            <b/>
            <sz val="9"/>
            <color indexed="81"/>
            <rFont val="Tahoma"/>
            <charset val="1"/>
          </rPr>
          <t>MUKIZA Jean:</t>
        </r>
        <r>
          <rPr>
            <sz val="9"/>
            <color indexed="81"/>
            <rFont val="Tahoma"/>
            <charset val="1"/>
          </rPr>
          <t xml:space="preserve">
Excludes F54, which duplicates the VAT subtotal in G54 (was double-counted).</t>
        </r>
      </text>
    </comment>
    <comment ref="F86" authorId="0" shapeId="0" xr:uid="{BA400B30-C13D-4E73-817E-BCC17565E0AC}">
      <text>
        <r>
          <rPr>
            <b/>
            <sz val="9"/>
            <color indexed="81"/>
            <rFont val="Tahoma"/>
            <charset val="1"/>
          </rPr>
          <t>MUKIZA Jean:</t>
        </r>
        <r>
          <rPr>
            <sz val="9"/>
            <color indexed="81"/>
            <rFont val="Tahoma"/>
            <charset val="1"/>
          </rPr>
          <t xml:space="preserve">
Excludes F74, which duplicates the VAT subtotal in G74 (was double-counted).</t>
        </r>
      </text>
    </comment>
    <comment ref="F121" authorId="0" shapeId="0" xr:uid="{14688056-48CE-4FFD-BA52-A10E8E1026AD}">
      <text>
        <r>
          <rPr>
            <b/>
            <sz val="9"/>
            <color indexed="81"/>
            <rFont val="Tahoma"/>
            <charset val="1"/>
          </rPr>
          <t>MUKIZA Jean:</t>
        </r>
        <r>
          <rPr>
            <sz val="9"/>
            <color indexed="81"/>
            <rFont val="Tahoma"/>
            <charset val="1"/>
          </rPr>
          <t xml:space="preserve">
Excludes F114, which duplicates the VAT subtotal in G114 (was double-counted).</t>
        </r>
      </text>
    </comment>
    <comment ref="F170" authorId="0" shapeId="0" xr:uid="{39475EFB-83E0-490A-A7B1-55A41EAB3A24}">
      <text>
        <r>
          <rPr>
            <b/>
            <sz val="9"/>
            <color indexed="81"/>
            <rFont val="Tahoma"/>
            <charset val="1"/>
          </rPr>
          <t>MUKIZA Jean:</t>
        </r>
        <r>
          <rPr>
            <sz val="9"/>
            <color indexed="81"/>
            <rFont val="Tahoma"/>
            <charset val="1"/>
          </rPr>
          <t xml:space="preserve">
Excludes F157, which duplicates the VAT subtotal in G157 (was double-counted).</t>
        </r>
      </text>
    </comment>
  </commentList>
</comments>
</file>

<file path=xl/sharedStrings.xml><?xml version="1.0" encoding="utf-8"?>
<sst xmlns="http://schemas.openxmlformats.org/spreadsheetml/2006/main" count="1661" uniqueCount="526">
  <si>
    <t>date</t>
  </si>
  <si>
    <t>company name</t>
  </si>
  <si>
    <t>company tin</t>
  </si>
  <si>
    <t>items</t>
  </si>
  <si>
    <t>facture no</t>
  </si>
  <si>
    <t>vat sent</t>
  </si>
  <si>
    <t>total amount</t>
  </si>
  <si>
    <t>SOYA</t>
  </si>
  <si>
    <t>IBIGORI</t>
  </si>
  <si>
    <t>SUGER</t>
  </si>
  <si>
    <t>INNOPRO LTD</t>
  </si>
  <si>
    <t>PAPIER ENVELOPPES</t>
  </si>
  <si>
    <t>COMMERCIAL GENERAL CENTER</t>
  </si>
  <si>
    <t>CIMENTS</t>
  </si>
  <si>
    <t>AKOMBONYE COMPANY LTD</t>
  </si>
  <si>
    <t>SP NYIRANGARAMA</t>
  </si>
  <si>
    <t>ESSANCES</t>
  </si>
  <si>
    <t>AMASAKA</t>
  </si>
  <si>
    <t>SALES BRANCH 01</t>
  </si>
  <si>
    <t>SALES BASE</t>
  </si>
  <si>
    <t>VAT MANAGEMENT</t>
  </si>
  <si>
    <t>VAT TO PAY</t>
  </si>
  <si>
    <t>VAT BRANCH01 REC</t>
  </si>
  <si>
    <t>VAT BASE REC</t>
  </si>
  <si>
    <t>TOTAL</t>
  </si>
  <si>
    <t>FACTURE ZIKENEWE</t>
  </si>
  <si>
    <t>CORRUGATED CARTONS</t>
  </si>
  <si>
    <t>RIJE LTD</t>
  </si>
  <si>
    <t>SERAGRAMS LTD</t>
  </si>
  <si>
    <t xml:space="preserve"> </t>
  </si>
  <si>
    <t>UMURIRO</t>
  </si>
  <si>
    <t>WOODFIX</t>
  </si>
  <si>
    <t>depenses</t>
  </si>
  <si>
    <t>manifesto</t>
  </si>
  <si>
    <t>a verser</t>
  </si>
  <si>
    <t>ventes</t>
  </si>
  <si>
    <t>diff</t>
  </si>
  <si>
    <t>AGRI SOKONI</t>
  </si>
  <si>
    <t>DIFFERENT GOODS</t>
  </si>
  <si>
    <t>VAT RECEIVED EBM</t>
  </si>
  <si>
    <t>VAT SENT FACT</t>
  </si>
  <si>
    <t>CIMENT</t>
  </si>
  <si>
    <t>EASTERN HOPE LTD</t>
  </si>
  <si>
    <t>AMAZI</t>
  </si>
  <si>
    <t>IRANGI</t>
  </si>
  <si>
    <t>DATE</t>
  </si>
  <si>
    <t>AMAZINA</t>
  </si>
  <si>
    <t>INGANO</t>
  </si>
  <si>
    <t>IGICIRO</t>
  </si>
  <si>
    <t>AMADENI YO KURI TERRAIN RICHARD</t>
  </si>
  <si>
    <t>ITARIKI</t>
  </si>
  <si>
    <t>AHANTU</t>
  </si>
  <si>
    <t>IDENI</t>
  </si>
  <si>
    <t>KIGALI</t>
  </si>
  <si>
    <t>MUSANZE</t>
  </si>
  <si>
    <t>COWBE</t>
  </si>
  <si>
    <t>MAIZE SCREEN</t>
  </si>
  <si>
    <t>TUYAU</t>
  </si>
  <si>
    <t>WATER</t>
  </si>
  <si>
    <t>CARTONS</t>
  </si>
  <si>
    <t>NTAGANDA ERASTE</t>
  </si>
  <si>
    <t>HATUNGURAMYE</t>
  </si>
  <si>
    <t>PNEUS</t>
  </si>
  <si>
    <t>TILES</t>
  </si>
  <si>
    <t>IRIBA TOOLS LTD</t>
  </si>
  <si>
    <t>IBYAGUZWE</t>
  </si>
  <si>
    <t>IBICIRO</t>
  </si>
  <si>
    <t>IBISIGAYE</t>
  </si>
  <si>
    <t>UBURO</t>
  </si>
  <si>
    <t>INGANO KG</t>
  </si>
  <si>
    <t>SCOTCH</t>
  </si>
  <si>
    <t>EMBALLAGE</t>
  </si>
  <si>
    <t>ISUKARI</t>
  </si>
  <si>
    <t>AMATA</t>
  </si>
  <si>
    <t>REQUISITION FORM</t>
  </si>
  <si>
    <t>AZINC</t>
  </si>
  <si>
    <t>AMURO COMPANY LTD</t>
  </si>
  <si>
    <t>V PLUS PACKAGING INDUSTRIES LTD</t>
  </si>
  <si>
    <t>DIFFERENCE</t>
  </si>
  <si>
    <t>BATTISTA BUSINESS LTD</t>
  </si>
  <si>
    <t>PAPIER ENVELOPPE</t>
  </si>
  <si>
    <t>AKAYUNGIRIZO</t>
  </si>
  <si>
    <t>MAGENDU PONTIEN</t>
  </si>
  <si>
    <t>110101631</t>
  </si>
  <si>
    <t>GACAMUMANZA</t>
  </si>
  <si>
    <t>103582274</t>
  </si>
  <si>
    <t>SINA GERARD PETROLEUM (SIGEPE) Ltd</t>
  </si>
  <si>
    <t>105347827</t>
  </si>
  <si>
    <t>COMMERCIAL GENERAL CENTER Ltd</t>
  </si>
  <si>
    <t>103346025</t>
  </si>
  <si>
    <t>RIJE Ltd</t>
  </si>
  <si>
    <t>SOYA IBIGORI</t>
  </si>
  <si>
    <t>VAT PAID</t>
  </si>
  <si>
    <t>INYUNGU KU NGUZANYO</t>
  </si>
  <si>
    <t>DEPENSES Z</t>
  </si>
  <si>
    <t>DEPRECIATION IMODOKA NA MACHINE</t>
  </si>
  <si>
    <t>UBUKODE BW'INZU</t>
  </si>
  <si>
    <t>PARKING YÍMODOKA MU MUJYI</t>
  </si>
  <si>
    <t>GUKANIKA IMODOKA</t>
  </si>
  <si>
    <t>IZISIGAYE</t>
  </si>
  <si>
    <t>GUHAHA IBIRIBWA BYÁBAKOZI (IBITOKI, IBIRAYI, AMASHU, AMATA, IMYUMBATI, AMATEKE, INKA, IHENE, INGURUBE, INTAMA,</t>
  </si>
  <si>
    <t>VPLUS PACKAGING INDUSTRIES LTD</t>
  </si>
  <si>
    <t>REG</t>
  </si>
  <si>
    <t>WASTE COLLECTION SRV</t>
  </si>
  <si>
    <t>AGRUNI LTD</t>
  </si>
  <si>
    <t>BATTISTA BUSINESS</t>
  </si>
  <si>
    <t>IBIKORESHO BYO KUBAKA</t>
  </si>
  <si>
    <t>PLAN ONE SUPPLY LTD</t>
  </si>
  <si>
    <t>HELIOS SAE</t>
  </si>
  <si>
    <t>CPS LUBRICANT LTD</t>
  </si>
  <si>
    <t>MINI IMPRIMERIES BLESSING</t>
  </si>
  <si>
    <t>PRINT CERTIFICATES</t>
  </si>
  <si>
    <t>IKAMBA GENERAL TRADING &amp;SUPPLY CO LTD</t>
  </si>
  <si>
    <t>SOYA NÍBIGORI</t>
  </si>
  <si>
    <t>HOZINEZA SHOP LTD</t>
  </si>
  <si>
    <t>PAUL</t>
  </si>
  <si>
    <t>RWEMA AGRI BUSINESS</t>
  </si>
  <si>
    <t>URUDODO</t>
  </si>
  <si>
    <t>EASTERN HOPE SHOP LTD</t>
  </si>
  <si>
    <t>V PLUS PACKAGING ONDUSTRIES</t>
  </si>
  <si>
    <t>IBIGORI SOYA</t>
  </si>
  <si>
    <t>INK</t>
  </si>
  <si>
    <t>CHAMPION TECHNOLOGIES LTD</t>
  </si>
  <si>
    <t>IZISIGAYE ZOSE NI DEPENSES</t>
  </si>
  <si>
    <t>IBINYAMPEKE</t>
  </si>
  <si>
    <t>SALES</t>
  </si>
  <si>
    <t>IBITARACURUZWA</t>
  </si>
  <si>
    <t>FEVRIER 2026</t>
  </si>
  <si>
    <t>JANVIER  2026</t>
  </si>
  <si>
    <t>DIFFERENCES</t>
  </si>
  <si>
    <t>ANGE FAMILY BUSINESS COMPANY LTD</t>
  </si>
  <si>
    <t>GRAPHISISME LTD</t>
  </si>
  <si>
    <t>BOOKS</t>
  </si>
  <si>
    <t>MINI IMPRIMERIE BLESSING LRD</t>
  </si>
  <si>
    <t>WORD</t>
  </si>
  <si>
    <t>KUBAKA</t>
  </si>
  <si>
    <t>COWBE LTD</t>
  </si>
  <si>
    <t>MARS 2026</t>
  </si>
  <si>
    <t>GIL GAL LTD</t>
  </si>
  <si>
    <t>BRAKE SHOE</t>
  </si>
  <si>
    <t>PAPIER ENVELLOPPES</t>
  </si>
  <si>
    <t>MINI IMPRIMERIE BLESSING</t>
  </si>
  <si>
    <t>CEMENT42.5</t>
  </si>
  <si>
    <t>OMEGA BOND LTD</t>
  </si>
  <si>
    <t>VAT TO BE PAID</t>
  </si>
  <si>
    <t>REFUND</t>
  </si>
  <si>
    <t>ISARO MAIZE FLOUR</t>
  </si>
  <si>
    <t>ISARO MAIZE COMPANY LTD</t>
  </si>
  <si>
    <t>BUHORO TRADING RWANDA BTR LTD</t>
  </si>
  <si>
    <t>IBIKORESHO</t>
  </si>
  <si>
    <t>SORGHUM</t>
  </si>
  <si>
    <t>DIFFERENT GOOD</t>
  </si>
  <si>
    <t>QUINCAILLERIE REMARKABLE CO LTD</t>
  </si>
  <si>
    <t>MOUNT MERU PETROLEUM LTD</t>
  </si>
  <si>
    <t>FIVE STARSINVESTMENT LTD</t>
  </si>
  <si>
    <t>AVRIL 2026</t>
  </si>
  <si>
    <t>MUBA</t>
  </si>
  <si>
    <t>119558986</t>
  </si>
  <si>
    <t>PLAN ONE SUPPLY Ltd</t>
  </si>
  <si>
    <t>SDC010016580/24093</t>
  </si>
  <si>
    <t>106553798</t>
  </si>
  <si>
    <t>CENTOR Ltd</t>
  </si>
  <si>
    <t>SDC010003976/28704</t>
  </si>
  <si>
    <t>102364950</t>
  </si>
  <si>
    <t>GILGAL Ltd</t>
  </si>
  <si>
    <t>SDC007068945/34982</t>
  </si>
  <si>
    <t>101490013</t>
  </si>
  <si>
    <t>SDC010082516/3804</t>
  </si>
  <si>
    <t>SDC010035518/7001</t>
  </si>
  <si>
    <t>IZASIGAYE KURI TVA</t>
  </si>
  <si>
    <t>26,565 VAT TO PAY</t>
  </si>
  <si>
    <t>HANOCLANO</t>
  </si>
  <si>
    <t>DRIED SORGHUM</t>
  </si>
  <si>
    <t>PRINTED BAGS</t>
  </si>
  <si>
    <t>POLYBAGS RWANDA</t>
  </si>
  <si>
    <t>WELLARS SUPPLY LTD</t>
  </si>
  <si>
    <t>LUGAZ SUGER</t>
  </si>
  <si>
    <t>TERRAZZO LTD</t>
  </si>
  <si>
    <t>NTAMUHANGA J BOSCO</t>
  </si>
  <si>
    <t>TRANSPORT</t>
  </si>
  <si>
    <t>J BAPTISTE GATABAZI</t>
  </si>
  <si>
    <t>16,17/04/2026</t>
  </si>
  <si>
    <t>JEANNETTE</t>
  </si>
  <si>
    <t>PETER DIDOS</t>
  </si>
  <si>
    <t>CLARISSE</t>
  </si>
  <si>
    <t>CONSTANTIN</t>
  </si>
  <si>
    <t>45000-32600</t>
  </si>
  <si>
    <t>MAI 2026</t>
  </si>
  <si>
    <t>DRIED SORHUM</t>
  </si>
  <si>
    <t>MINI IMPRIMERIE BLESSINGS LTD</t>
  </si>
  <si>
    <t>LAYERS MASH</t>
  </si>
  <si>
    <t>PRODEV RWANDA SARL</t>
  </si>
  <si>
    <t>CUISINIERE ELECTRIQUE</t>
  </si>
  <si>
    <t>BLUE FLAME</t>
  </si>
  <si>
    <t>STOCK</t>
  </si>
  <si>
    <t>JUN</t>
  </si>
  <si>
    <t>MOUNT MERU PETROLIUM</t>
  </si>
  <si>
    <t>PROGRESS 250 LTD</t>
  </si>
  <si>
    <t>HAELTH CARE</t>
  </si>
  <si>
    <t>LIFELINE LTD</t>
  </si>
  <si>
    <t>VETLINKS LTS</t>
  </si>
  <si>
    <t>TOTAL AFLATOXIN RAPID TEST</t>
  </si>
  <si>
    <t>ROGER</t>
  </si>
  <si>
    <t>refund 146,504</t>
  </si>
  <si>
    <t>BLANDA IBIGORI</t>
  </si>
  <si>
    <t>RAMICO LTD</t>
  </si>
  <si>
    <t>BFBMS LTS</t>
  </si>
  <si>
    <t>SHOK ABSOLBER SP</t>
  </si>
  <si>
    <t>ERIC</t>
  </si>
  <si>
    <t>JMV</t>
  </si>
  <si>
    <t>PETER</t>
  </si>
  <si>
    <t>145000-69000-45000-32500</t>
  </si>
  <si>
    <t>11/03,23/03,19/04/</t>
  </si>
  <si>
    <t>RESTE 500</t>
  </si>
  <si>
    <t>30000-12000</t>
  </si>
  <si>
    <t>THEONESTE</t>
  </si>
  <si>
    <t>FERDINAND/ KWISHYURA</t>
  </si>
  <si>
    <t>GICUMBI</t>
  </si>
  <si>
    <t>CLAUDE</t>
  </si>
  <si>
    <t>RUBAVU</t>
  </si>
  <si>
    <t>300000-150000</t>
  </si>
  <si>
    <t>XAVIER</t>
  </si>
  <si>
    <t>217500-130000</t>
  </si>
  <si>
    <t>ANNANIAS</t>
  </si>
  <si>
    <t>MOISE/ KWISHYURA</t>
  </si>
  <si>
    <t>140000-100000</t>
  </si>
  <si>
    <t>NIYONSENGA</t>
  </si>
  <si>
    <t>KAMU KAMU TRADING</t>
  </si>
  <si>
    <t>MARTENEZ TRADING LTD</t>
  </si>
  <si>
    <t>UNKOWN</t>
  </si>
  <si>
    <t>EASTERN HOPE</t>
  </si>
  <si>
    <t>MINI IMPRIMERIE BLESSING LTD</t>
  </si>
  <si>
    <t>NEEDLE1</t>
  </si>
  <si>
    <t>PULLET STARTER MASH</t>
  </si>
  <si>
    <t>AKAYUNGURUZO</t>
  </si>
  <si>
    <t>ALENIKA GROUP TRADING</t>
  </si>
  <si>
    <t>UMUNYU</t>
  </si>
  <si>
    <t>EUCL</t>
  </si>
  <si>
    <t>ELECTRICITY</t>
  </si>
  <si>
    <t>IBINYAMPEKE BIDAFITE VAT</t>
  </si>
  <si>
    <t>J</t>
  </si>
  <si>
    <t>REFUND 277,473</t>
  </si>
  <si>
    <t>REFUND TOTAL</t>
  </si>
  <si>
    <t>REFUND JUNE</t>
  </si>
  <si>
    <t>PEACE H TRADING COMPANY LTD</t>
  </si>
  <si>
    <t>COLLE WOODFIX</t>
  </si>
  <si>
    <t xml:space="preserve">MOUNT MERU PETROLEUM </t>
  </si>
  <si>
    <t>POLYBAGS RWANDA LTD</t>
  </si>
  <si>
    <t>BAGS</t>
  </si>
  <si>
    <t>PRODEV RWANDA LTD</t>
  </si>
  <si>
    <t>GILGAL LTD</t>
  </si>
  <si>
    <t>PAPER ENVELLOPPES</t>
  </si>
  <si>
    <t>BURI KWEZI</t>
  </si>
  <si>
    <t>AYISHYURWA</t>
  </si>
  <si>
    <t>108604962</t>
  </si>
  <si>
    <t>BLUEFLAME Ltd</t>
  </si>
  <si>
    <t>SDC007070336/6065</t>
  </si>
  <si>
    <t>101899340</t>
  </si>
  <si>
    <t>MINI IMPRIMERIE "BLESSING" LTD</t>
  </si>
  <si>
    <t>SDC010113591/569</t>
  </si>
  <si>
    <t>105330055</t>
  </si>
  <si>
    <t>IRIBA TOOLS  Ltd</t>
  </si>
  <si>
    <t>SDC010034219/9871</t>
  </si>
  <si>
    <t>SDC014000881/156290</t>
  </si>
  <si>
    <t>SDC014000881/155205</t>
  </si>
  <si>
    <t>SDC014000881/156937</t>
  </si>
  <si>
    <t>SDC014000881/156696</t>
  </si>
  <si>
    <t>SDC010034219/9784</t>
  </si>
  <si>
    <t>SDC014000881/159574</t>
  </si>
  <si>
    <t>SDC014000881/157647</t>
  </si>
  <si>
    <t>SDC014000881/157369</t>
  </si>
  <si>
    <t>SDC014000881/159071</t>
  </si>
  <si>
    <t>SDC010034219/9844</t>
  </si>
  <si>
    <t>SDC014000881/158187</t>
  </si>
  <si>
    <t>SDC014000881/154842</t>
  </si>
  <si>
    <t>SDC014000881/159738</t>
  </si>
  <si>
    <t>SDC010034219/9727</t>
  </si>
  <si>
    <t>SDC014000881/155315</t>
  </si>
  <si>
    <t>SDC014000881/157792</t>
  </si>
  <si>
    <t>SDC014000881/154627</t>
  </si>
  <si>
    <t>SDC014000881/158906</t>
  </si>
  <si>
    <t>SDC014000881/154907</t>
  </si>
  <si>
    <t>SDC014000881/156473</t>
  </si>
  <si>
    <t>SDC014000881/155652</t>
  </si>
  <si>
    <t>SDC014000881/156758</t>
  </si>
  <si>
    <t>SDC010035518/7188</t>
  </si>
  <si>
    <t>SDC010035518/7189</t>
  </si>
  <si>
    <t>SDC010035518/7225</t>
  </si>
  <si>
    <t>101524825</t>
  </si>
  <si>
    <t>PRODEV-RWANDA Ltd</t>
  </si>
  <si>
    <t>SDC007000224/72972</t>
  </si>
  <si>
    <t>SDC007000224/73108</t>
  </si>
  <si>
    <t>SDC007000224/73567</t>
  </si>
  <si>
    <t>Supplier TIN</t>
  </si>
  <si>
    <t>Supplier name</t>
  </si>
  <si>
    <t>Nature of Goods</t>
  </si>
  <si>
    <t>Receipt number</t>
  </si>
  <si>
    <t>Receipt issue date</t>
  </si>
  <si>
    <t>Amount without VAT</t>
  </si>
  <si>
    <t>VAT</t>
  </si>
  <si>
    <t>IZASIGAYE MAY 2026</t>
  </si>
  <si>
    <t>SDC010113591/592</t>
  </si>
  <si>
    <t>SDC010034219/10016</t>
  </si>
  <si>
    <t>103193277</t>
  </si>
  <si>
    <t>ORIBUT COMPANY Ltd</t>
  </si>
  <si>
    <t>SDC007074761/3737</t>
  </si>
  <si>
    <t>101928116</t>
  </si>
  <si>
    <t>MOUNT MERU PETROLEUM (RWANDA) Ltd</t>
  </si>
  <si>
    <t>SDC007077393/5588</t>
  </si>
  <si>
    <t>SDC014000881/166002</t>
  </si>
  <si>
    <t>SDC014000881/162548</t>
  </si>
  <si>
    <t>SDC014000881/160467</t>
  </si>
  <si>
    <t>SDC014000881/165440</t>
  </si>
  <si>
    <t>SDC014000881/164269</t>
  </si>
  <si>
    <t>SDC007044489/88908</t>
  </si>
  <si>
    <t>SDC014000881/161100</t>
  </si>
  <si>
    <t>SDC010014087/46890</t>
  </si>
  <si>
    <t>SDC014000881/165047</t>
  </si>
  <si>
    <t>SDC014000881/162037</t>
  </si>
  <si>
    <t>SDC014000881/160860</t>
  </si>
  <si>
    <t>SDC014000881/166799</t>
  </si>
  <si>
    <t>SDC014000881/163724</t>
  </si>
  <si>
    <t>SDC014000881/162746</t>
  </si>
  <si>
    <t>121419347</t>
  </si>
  <si>
    <t>MARTINEZ  TRADING Ltd</t>
  </si>
  <si>
    <t>SDC010071942/7782</t>
  </si>
  <si>
    <t>SDC014000881/164067</t>
  </si>
  <si>
    <t>SDC014000881/163492</t>
  </si>
  <si>
    <t>SDC014000881/163906</t>
  </si>
  <si>
    <t>108630376</t>
  </si>
  <si>
    <t>AHEZA BUSINESS GROUP Ltd</t>
  </si>
  <si>
    <t>SDC007012290/16390</t>
  </si>
  <si>
    <t>SDC014000881/162066</t>
  </si>
  <si>
    <t>SDC014000881/164029</t>
  </si>
  <si>
    <t>SDC014000881/166846</t>
  </si>
  <si>
    <t>103538577</t>
  </si>
  <si>
    <t>B.F.B.M.S Ltd</t>
  </si>
  <si>
    <t>SDC010000180/7175</t>
  </si>
  <si>
    <t>SDC007044489/88920</t>
  </si>
  <si>
    <t>SDC014000881/162327</t>
  </si>
  <si>
    <t>SDC014000881/162639</t>
  </si>
  <si>
    <t>SDC014000881/165348</t>
  </si>
  <si>
    <t>SDC014000881/166367</t>
  </si>
  <si>
    <t>119533170</t>
  </si>
  <si>
    <t>AKOMBONYE COMPANY Ltd</t>
  </si>
  <si>
    <t>SDC010020355/12941</t>
  </si>
  <si>
    <t>102901975</t>
  </si>
  <si>
    <t>RWEMA AGRI BUSINESS Ltd</t>
  </si>
  <si>
    <t>SDC010003421/35987</t>
  </si>
  <si>
    <t>108610180</t>
  </si>
  <si>
    <t>LIFELINE Ltd</t>
  </si>
  <si>
    <t>SDC007058650/1372</t>
  </si>
  <si>
    <t>111406751</t>
  </si>
  <si>
    <t>VETLINKS Ltd</t>
  </si>
  <si>
    <t>SDC008000183/141484</t>
  </si>
  <si>
    <t>156017708</t>
  </si>
  <si>
    <t>Alenika groupe trading LTD</t>
  </si>
  <si>
    <t>SDC010197465/164</t>
  </si>
  <si>
    <t>109162072</t>
  </si>
  <si>
    <t>PROGRESS 250 Ltd</t>
  </si>
  <si>
    <t>SDC007060081/2280</t>
  </si>
  <si>
    <t>SDC007060081/2284</t>
  </si>
  <si>
    <t>101419165</t>
  </si>
  <si>
    <t>JEAN BAPTISTE GATABAZI</t>
  </si>
  <si>
    <t>SDC010148477/545</t>
  </si>
  <si>
    <t>SDC007000224/73782</t>
  </si>
  <si>
    <t>SDC007000224/73912</t>
  </si>
  <si>
    <t>SDC007000224/74008</t>
  </si>
  <si>
    <t>SDC007000224/74180</t>
  </si>
  <si>
    <t>SDC010035518/7442</t>
  </si>
  <si>
    <t>SDC007000224/74553</t>
  </si>
  <si>
    <t>IZISIGAYE JUNE 2026</t>
  </si>
  <si>
    <t>IZISIGAYE MARS 2026</t>
  </si>
  <si>
    <t>IZISIGAYE AVRIL 2026</t>
  </si>
  <si>
    <t>IZISIGAYE FEVRUARY 2026</t>
  </si>
  <si>
    <t>SDC014000881/147028</t>
  </si>
  <si>
    <t>SDC014000881/147356</t>
  </si>
  <si>
    <t>SDC014000881/147416</t>
  </si>
  <si>
    <t>SDC014000881/147678</t>
  </si>
  <si>
    <t>SDC014000881/147932</t>
  </si>
  <si>
    <t>SDC014000881/148774</t>
  </si>
  <si>
    <t>SDC014000881/149496</t>
  </si>
  <si>
    <t>SDC014000881/149561</t>
  </si>
  <si>
    <t>SDC014000881/149677</t>
  </si>
  <si>
    <t>SDC014000881/150337</t>
  </si>
  <si>
    <t>SDC014000881/150574</t>
  </si>
  <si>
    <t>SDC014000881/151037</t>
  </si>
  <si>
    <t>SDC014000881/151123</t>
  </si>
  <si>
    <t>SDC010148477/351</t>
  </si>
  <si>
    <t>SDC010148477/397</t>
  </si>
  <si>
    <t>SDC010148477/399</t>
  </si>
  <si>
    <t>SDC010148477/414</t>
  </si>
  <si>
    <t>102419403</t>
  </si>
  <si>
    <t>JEAN BOSCO  NTAMUHANGA</t>
  </si>
  <si>
    <t>SDC010059385/60</t>
  </si>
  <si>
    <t>122310009</t>
  </si>
  <si>
    <t>BATTISTA BUSINESS Ltd</t>
  </si>
  <si>
    <t>SDC010084409/686</t>
  </si>
  <si>
    <t>SDC010035518/7072</t>
  </si>
  <si>
    <t>SDC010035518/7128</t>
  </si>
  <si>
    <t>IZANZE</t>
  </si>
  <si>
    <t xml:space="preserve">GUHAHA INKA, </t>
  </si>
  <si>
    <t>UMUTEKANO</t>
  </si>
  <si>
    <t>AMAZI DEBA</t>
  </si>
  <si>
    <t xml:space="preserve">BANDEFREI </t>
  </si>
  <si>
    <t xml:space="preserve">ESSANCES </t>
  </si>
  <si>
    <t>ESS</t>
  </si>
  <si>
    <t>GROWER MASH</t>
  </si>
  <si>
    <t>BRAKE PAD</t>
  </si>
  <si>
    <t>BFBMS LTD</t>
  </si>
  <si>
    <t>PURCHASES &amp; EXPENSES 2026 — WORKBOOK SUMMARY</t>
  </si>
  <si>
    <t>Source file: purchase et expenses 2026 Bea.xlsx   |   Currency: RWF   |   All dates displayed as DD/MM/YYYY</t>
  </si>
  <si>
    <t>1. WHAT THIS WORKBOOK CONTAINS</t>
  </si>
  <si>
    <t>Sheet</t>
  </si>
  <si>
    <t>Period covered</t>
  </si>
  <si>
    <t>Rows of data</t>
  </si>
  <si>
    <t>Status</t>
  </si>
  <si>
    <t>Contents</t>
  </si>
  <si>
    <t>JAN FEB MARC</t>
  </si>
  <si>
    <t>Jan–Mar 2026</t>
  </si>
  <si>
    <t>Complete</t>
  </si>
  <si>
    <t>Daily purchase/expense register + 3 monthly VAT blocks (sales, VAT recovered EBM, VAT sent, VAT to pay)</t>
  </si>
  <si>
    <t>APRIL, MAY JUN</t>
  </si>
  <si>
    <t>Apr–Jun 2026</t>
  </si>
  <si>
    <t>Same structure as Q1: purchase register + 4 VAT computation blocks</t>
  </si>
  <si>
    <t xml:space="preserve">JULY AUG SEPT </t>
  </si>
  <si>
    <t>Jul–Sep 2026</t>
  </si>
  <si>
    <t>Repaired</t>
  </si>
  <si>
    <t>Purchase register + VAT blocks; 3 VAT-to-pay formulas were broken (#REF!) and have been rebuilt</t>
  </si>
  <si>
    <t>OCT NOV DEC</t>
  </si>
  <si>
    <t>Oct–Dec 2026</t>
  </si>
  <si>
    <t>EMPTY — to be filled</t>
  </si>
  <si>
    <t>Formatting only, no data yet. Q4 must be entered before the annual report is final</t>
  </si>
  <si>
    <t>ANNUAL REPORT</t>
  </si>
  <si>
    <t>Jan–Jun 2026</t>
  </si>
  <si>
    <t>Supplier-level purchase listing by month (TIN, supplier, goods, EBM receipt no., date, amount excl. VAT, VAT)</t>
  </si>
  <si>
    <t>IBIKENEWE MU KWIGA</t>
  </si>
  <si>
    <t>Requisition (dated 06/07/2025)</t>
  </si>
  <si>
    <t>Requisition / stock roll-forward: qty x price, purchases, closing stock. 4 #VALUE! errors fixed</t>
  </si>
  <si>
    <t>control formule</t>
  </si>
  <si>
    <t>n/a</t>
  </si>
  <si>
    <t>Working scratchpad</t>
  </si>
  <si>
    <t>Ad-hoc quantity x price checks and manual cross-checks; not part of the reporting chain</t>
  </si>
  <si>
    <t xml:space="preserve">UNCONTROLED </t>
  </si>
  <si>
    <t>Annual</t>
  </si>
  <si>
    <t>Uncontrolled / unsupported expense list (incl. an annualised 30,000 x 12 item)</t>
  </si>
  <si>
    <t>2. PURCHASES &amp; EXPENSES BY MONTH (from ANNUAL REPORT)</t>
  </si>
  <si>
    <t>Month</t>
  </si>
  <si>
    <t>Amount excl. VAT</t>
  </si>
  <si>
    <t>Total incl. VAT</t>
  </si>
  <si>
    <t>Source cells</t>
  </si>
  <si>
    <t>ANNUAL REPORT rows 1-39 (col G gross, col F VAT)</t>
  </si>
  <si>
    <t>ANNUAL REPORT F48 (no VAT recorded on these lines)</t>
  </si>
  <si>
    <t>ANNUAL REPORT F59 / G54</t>
  </si>
  <si>
    <t>ANNUAL REPORT F86 / G74</t>
  </si>
  <si>
    <t>ANNUAL REPORT F121 / G114</t>
  </si>
  <si>
    <t>ANNUAL REPORT F170 / G157</t>
  </si>
  <si>
    <t>TOTAL H1 2026</t>
  </si>
  <si>
    <t>Jul-Dec 2026 not yet carried into ANNUAL REPORT</t>
  </si>
  <si>
    <t>3. VAT DECLARATION BLOCKS (VAT recovered less VAT invoiced)</t>
  </si>
  <si>
    <t>Month labels beside these blocks are inconsistent in the source sheets — confirm the declaration period before filing.</t>
  </si>
  <si>
    <t>Block (source cell)</t>
  </si>
  <si>
    <t>VAT to pay / (credit)</t>
  </si>
  <si>
    <t>Note</t>
  </si>
  <si>
    <t>Block 1 — G66</t>
  </si>
  <si>
    <t>Labelled FEVRIER 2026 in source</t>
  </si>
  <si>
    <t>Block 2 — G127</t>
  </si>
  <si>
    <t>Labelled MARS 2026 in source</t>
  </si>
  <si>
    <t>Block 3 — G175</t>
  </si>
  <si>
    <t>Credit position (negative)</t>
  </si>
  <si>
    <t>Block 1 — G55</t>
  </si>
  <si>
    <t>Block 2 — G109</t>
  </si>
  <si>
    <t>Block 3 — G179</t>
  </si>
  <si>
    <t>Marked “REFUND JUNE” in source</t>
  </si>
  <si>
    <t>Block 4 — G226</t>
  </si>
  <si>
    <t>Same sales/VAT figures as JULY AUG SEPT block 4 — possible duplicated block</t>
  </si>
  <si>
    <t>Block 1 — F55</t>
  </si>
  <si>
    <t>Intact in source</t>
  </si>
  <si>
    <t>Block 2 — F109</t>
  </si>
  <si>
    <t>REBUILT (was #REF!) — VAT-recovered rows were blank; now derived from sales at 18/118</t>
  </si>
  <si>
    <t>Block 3 — F176</t>
  </si>
  <si>
    <t>REBUILT (was #REF!)</t>
  </si>
  <si>
    <t>Block 4 — F223</t>
  </si>
  <si>
    <t>—</t>
  </si>
  <si>
    <t>Sheet is empty; no Q4 VAT blocks exist yet</t>
  </si>
  <si>
    <t>4. AUDIT LOG — ISSUES FOUND</t>
  </si>
  <si>
    <t>Cells</t>
  </si>
  <si>
    <t>Severity</t>
  </si>
  <si>
    <t>Action</t>
  </si>
  <si>
    <t>Issue</t>
  </si>
  <si>
    <t>F59, F86, F121, F170</t>
  </si>
  <si>
    <t>Critical</t>
  </si>
  <si>
    <t>FIXED</t>
  </si>
  <si>
    <t>Monthly totals summed a VAT subtotal line sitting in the Amount column — Mar/Apr/May/Jun were overstated by 152,847 / 99,697 / 402,610 / 345,905</t>
  </si>
  <si>
    <t>F109, F176, F223 (+F178)</t>
  </si>
  <si>
    <t>VAT-to-pay formulas read =#REF!-... ; rebuilt as TOTAL VAT recovered less VAT invoiced, with D106/D107, D173/D174, D220/D221 derived from sales at 18/118</t>
  </si>
  <si>
    <t>G7, G9, G10, I9, I10</t>
  </si>
  <si>
    <t>Whole workbook</t>
  </si>
  <si>
    <t>~1,500 cells</t>
  </si>
  <si>
    <t>Warning</t>
  </si>
  <si>
    <t>All date cells standardised to DD/MM/YYYY; 108 dates stored as text (incl. 103 in ANNUAL REPORT col E) converted to real dates</t>
  </si>
  <si>
    <t>Entire sheet</t>
  </si>
  <si>
    <t>OPEN</t>
  </si>
  <si>
    <t>No data at all — Q4 purchases and VAT blocks must be entered before an annual report can be produced</t>
  </si>
  <si>
    <t>F54, F74, F114, F157</t>
  </si>
  <si>
    <t>VAT subtotals typed as static numbers into the Amount column; left in place but excluded from the totals. Better to delete them or link to G54/G74/G114/G157</t>
  </si>
  <si>
    <t>ANNUAL REPORT / APRIL, MAY JUN</t>
  </si>
  <si>
    <t>F85 / G45</t>
  </si>
  <si>
    <t>=1522*600 — quantity and unit price buried inside a formula; should sit in their own cells</t>
  </si>
  <si>
    <t>D52:D53, E63:E64, E124:E125 pattern</t>
  </si>
  <si>
    <t>VAT-recovered rows retyped as rounded constants instead of linking to the 18/118 calculation above — small rounding differences in VAT to pay</t>
  </si>
  <si>
    <t xml:space="preserve">APRIL, MAY JUN / JULY AUG SEPT </t>
  </si>
  <si>
    <t>G226 / F223 blocks</t>
  </si>
  <si>
    <t>Identical sales and VAT figures appear in a block on both sheets — confirm this is not a duplicated declaration</t>
  </si>
  <si>
    <t>A5</t>
  </si>
  <si>
    <t>Info</t>
  </si>
  <si>
    <t>Date reads 13/01/2025 (RIJE LTD line) inside a 2026 register — likely a typing error</t>
  </si>
  <si>
    <t>UNCONTROLED / control formule</t>
  </si>
  <si>
    <t>Working sheets with hardcoded arithmetic (=30000*12, =72*150); not linked to any statement</t>
  </si>
  <si>
    <t>January 2026</t>
  </si>
  <si>
    <t>February 2026</t>
  </si>
  <si>
    <t>March 2026</t>
  </si>
  <si>
    <t>April 2026</t>
  </si>
  <si>
    <t>May 2026</t>
  </si>
  <si>
    <t>June 2026</t>
  </si>
  <si>
    <t>VALUE errors — stock roll-forward subtracted column F, which holds item names (text). Now uses SUM(F..) so text is ignored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</si>
</sst>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#,##0;\(#,##0\);\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FFFFFF"/>
      <name val="Calibri"/>
      <family val="2"/>
      <scheme val="minor"/>
    </font>
    <font>
      <i/>
      <sz val="11"/>
      <color rgb="FF444444"/>
      <name val="Calibri"/>
      <family val="2"/>
      <scheme val="minor"/>
    </font>
    <font>
      <b/>
      <sz val="12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</cellStyleXfs>
  <cellXfs count="256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14" fontId="0" fillId="0" borderId="1" xfId="0" applyNumberFormat="1" applyBorder="1"/>
    <xf numFmtId="41" fontId="3" fillId="3" borderId="1" xfId="1" applyFont="1" applyFill="1" applyBorder="1"/>
    <xf numFmtId="41" fontId="0" fillId="0" borderId="1" xfId="1" applyFont="1" applyBorder="1"/>
    <xf numFmtId="41" fontId="0" fillId="0" borderId="0" xfId="1" applyFont="1"/>
    <xf numFmtId="14" fontId="0" fillId="0" borderId="0" xfId="0" applyNumberFormat="1"/>
    <xf numFmtId="41" fontId="2" fillId="0" borderId="0" xfId="1" applyFont="1"/>
    <xf numFmtId="41" fontId="0" fillId="2" borderId="1" xfId="1" applyFont="1" applyFill="1" applyBorder="1"/>
    <xf numFmtId="0" fontId="0" fillId="4" borderId="1" xfId="0" applyFill="1" applyBorder="1"/>
    <xf numFmtId="41" fontId="0" fillId="4" borderId="1" xfId="1" applyFont="1" applyFill="1" applyBorder="1"/>
    <xf numFmtId="41" fontId="0" fillId="3" borderId="1" xfId="1" applyFont="1" applyFill="1" applyBorder="1"/>
    <xf numFmtId="0" fontId="0" fillId="5" borderId="1" xfId="0" applyFill="1" applyBorder="1"/>
    <xf numFmtId="41" fontId="0" fillId="5" borderId="1" xfId="1" applyFont="1" applyFill="1" applyBorder="1"/>
    <xf numFmtId="41" fontId="0" fillId="0" borderId="1" xfId="1" applyFont="1" applyFill="1" applyBorder="1"/>
    <xf numFmtId="41" fontId="0" fillId="0" borderId="0" xfId="1" applyFont="1" applyFill="1"/>
    <xf numFmtId="41" fontId="0" fillId="6" borderId="1" xfId="1" applyFont="1" applyFill="1" applyBorder="1"/>
    <xf numFmtId="41" fontId="0" fillId="0" borderId="0" xfId="0" applyNumberFormat="1"/>
    <xf numFmtId="0" fontId="0" fillId="0" borderId="1" xfId="0" applyFill="1" applyBorder="1"/>
    <xf numFmtId="0" fontId="0" fillId="0" borderId="1" xfId="0" applyFont="1" applyBorder="1"/>
    <xf numFmtId="43" fontId="0" fillId="0" borderId="0" xfId="0" applyNumberFormat="1"/>
    <xf numFmtId="14" fontId="0" fillId="0" borderId="0" xfId="0" applyNumberFormat="1" applyFill="1"/>
    <xf numFmtId="0" fontId="0" fillId="0" borderId="0" xfId="0" applyBorder="1"/>
    <xf numFmtId="0" fontId="0" fillId="4" borderId="0" xfId="0" applyFill="1"/>
    <xf numFmtId="0" fontId="0" fillId="0" borderId="0" xfId="0" applyFill="1" applyBorder="1"/>
    <xf numFmtId="41" fontId="1" fillId="0" borderId="1" xfId="1" applyFont="1" applyBorder="1"/>
    <xf numFmtId="14" fontId="0" fillId="6" borderId="0" xfId="0" applyNumberFormat="1" applyFill="1"/>
    <xf numFmtId="14" fontId="0" fillId="0" borderId="1" xfId="0" applyNumberFormat="1" applyFill="1" applyBorder="1"/>
    <xf numFmtId="0" fontId="5" fillId="0" borderId="0" xfId="0" applyFont="1"/>
    <xf numFmtId="41" fontId="0" fillId="3" borderId="0" xfId="1" applyFont="1" applyFill="1"/>
    <xf numFmtId="41" fontId="4" fillId="0" borderId="0" xfId="1" applyFont="1"/>
    <xf numFmtId="41" fontId="0" fillId="4" borderId="0" xfId="1" applyFont="1" applyFill="1"/>
    <xf numFmtId="41" fontId="0" fillId="0" borderId="0" xfId="1" applyFont="1" applyBorder="1"/>
    <xf numFmtId="14" fontId="0" fillId="6" borderId="1" xfId="0" applyNumberFormat="1" applyFill="1" applyBorder="1"/>
    <xf numFmtId="0" fontId="0" fillId="6" borderId="1" xfId="0" applyFill="1" applyBorder="1"/>
    <xf numFmtId="41" fontId="0" fillId="0" borderId="0" xfId="1" applyFont="1" applyFill="1" applyBorder="1"/>
    <xf numFmtId="41" fontId="0" fillId="0" borderId="1" xfId="0" applyNumberFormat="1" applyBorder="1"/>
    <xf numFmtId="14" fontId="0" fillId="0" borderId="0" xfId="1" applyNumberFormat="1" applyFont="1" applyBorder="1"/>
    <xf numFmtId="0" fontId="2" fillId="0" borderId="1" xfId="0" applyFont="1" applyBorder="1"/>
    <xf numFmtId="41" fontId="2" fillId="0" borderId="1" xfId="1" applyFont="1" applyBorder="1"/>
    <xf numFmtId="0" fontId="0" fillId="0" borderId="4" xfId="0" applyBorder="1"/>
    <xf numFmtId="14" fontId="0" fillId="8" borderId="1" xfId="0" applyNumberFormat="1" applyFill="1" applyBorder="1"/>
    <xf numFmtId="0" fontId="0" fillId="8" borderId="1" xfId="0" applyFill="1" applyBorder="1"/>
    <xf numFmtId="41" fontId="0" fillId="8" borderId="1" xfId="1" applyFont="1" applyFill="1" applyBorder="1"/>
    <xf numFmtId="41" fontId="0" fillId="0" borderId="4" xfId="1" applyFont="1" applyBorder="1"/>
    <xf numFmtId="0" fontId="0" fillId="6" borderId="0" xfId="0" applyFill="1"/>
    <xf numFmtId="41" fontId="3" fillId="0" borderId="1" xfId="1" applyFont="1" applyFill="1" applyBorder="1"/>
    <xf numFmtId="14" fontId="6" fillId="0" borderId="1" xfId="0" applyNumberFormat="1" applyFont="1" applyFill="1" applyBorder="1"/>
    <xf numFmtId="0" fontId="6" fillId="0" borderId="1" xfId="0" applyFont="1" applyFill="1" applyBorder="1"/>
    <xf numFmtId="41" fontId="6" fillId="0" borderId="1" xfId="1" applyFont="1" applyFill="1" applyBorder="1"/>
    <xf numFmtId="14" fontId="0" fillId="9" borderId="1" xfId="0" applyNumberFormat="1" applyFill="1" applyBorder="1"/>
    <xf numFmtId="0" fontId="0" fillId="9" borderId="1" xfId="0" applyFill="1" applyBorder="1"/>
    <xf numFmtId="41" fontId="0" fillId="9" borderId="1" xfId="1" applyFont="1" applyFill="1" applyBorder="1"/>
    <xf numFmtId="0" fontId="0" fillId="9" borderId="0" xfId="0" applyFill="1"/>
    <xf numFmtId="41" fontId="7" fillId="0" borderId="1" xfId="1" applyFont="1" applyBorder="1"/>
    <xf numFmtId="41" fontId="8" fillId="0" borderId="1" xfId="1" applyFont="1" applyBorder="1"/>
    <xf numFmtId="0" fontId="0" fillId="0" borderId="2" xfId="0" applyBorder="1"/>
    <xf numFmtId="41" fontId="0" fillId="0" borderId="2" xfId="1" applyFont="1" applyBorder="1"/>
    <xf numFmtId="14" fontId="2" fillId="0" borderId="1" xfId="0" applyNumberFormat="1" applyFont="1" applyFill="1" applyBorder="1"/>
    <xf numFmtId="0" fontId="2" fillId="8" borderId="1" xfId="0" applyFont="1" applyFill="1" applyBorder="1"/>
    <xf numFmtId="41" fontId="2" fillId="8" borderId="1" xfId="1" applyFont="1" applyFill="1" applyBorder="1"/>
    <xf numFmtId="41" fontId="2" fillId="8" borderId="1" xfId="0" applyNumberFormat="1" applyFont="1" applyFill="1" applyBorder="1"/>
    <xf numFmtId="41" fontId="0" fillId="10" borderId="1" xfId="1" applyFont="1" applyFill="1" applyBorder="1"/>
    <xf numFmtId="0" fontId="0" fillId="10" borderId="1" xfId="0" applyFill="1" applyBorder="1"/>
    <xf numFmtId="41" fontId="0" fillId="10" borderId="1" xfId="0" applyNumberFormat="1" applyFill="1" applyBorder="1"/>
    <xf numFmtId="41" fontId="2" fillId="10" borderId="1" xfId="1" applyFont="1" applyFill="1" applyBorder="1"/>
    <xf numFmtId="0" fontId="2" fillId="10" borderId="1" xfId="0" applyFont="1" applyFill="1" applyBorder="1"/>
    <xf numFmtId="41" fontId="9" fillId="0" borderId="4" xfId="1" applyFont="1" applyBorder="1"/>
    <xf numFmtId="14" fontId="6" fillId="9" borderId="1" xfId="0" applyNumberFormat="1" applyFont="1" applyFill="1" applyBorder="1"/>
    <xf numFmtId="0" fontId="6" fillId="9" borderId="1" xfId="0" applyFont="1" applyFill="1" applyBorder="1"/>
    <xf numFmtId="0" fontId="6" fillId="9" borderId="0" xfId="0" applyFont="1" applyFill="1"/>
    <xf numFmtId="41" fontId="6" fillId="9" borderId="0" xfId="1" applyFont="1" applyFill="1"/>
    <xf numFmtId="0" fontId="4" fillId="0" borderId="1" xfId="0" applyFont="1" applyBorder="1"/>
    <xf numFmtId="0" fontId="10" fillId="0" borderId="0" xfId="2"/>
    <xf numFmtId="41" fontId="10" fillId="0" borderId="0" xfId="3" applyFont="1"/>
    <xf numFmtId="14" fontId="0" fillId="0" borderId="0" xfId="0" applyNumberFormat="1" applyBorder="1"/>
    <xf numFmtId="0" fontId="10" fillId="0" borderId="0" xfId="2" applyFill="1"/>
    <xf numFmtId="41" fontId="6" fillId="4" borderId="1" xfId="1" applyFont="1" applyFill="1" applyBorder="1"/>
    <xf numFmtId="41" fontId="0" fillId="7" borderId="1" xfId="1" applyFont="1" applyFill="1" applyBorder="1"/>
    <xf numFmtId="41" fontId="0" fillId="7" borderId="1" xfId="0" applyNumberFormat="1" applyFill="1" applyBorder="1"/>
    <xf numFmtId="14" fontId="6" fillId="6" borderId="1" xfId="0" applyNumberFormat="1" applyFont="1" applyFill="1" applyBorder="1"/>
    <xf numFmtId="0" fontId="6" fillId="6" borderId="1" xfId="0" applyFont="1" applyFill="1" applyBorder="1"/>
    <xf numFmtId="41" fontId="6" fillId="6" borderId="1" xfId="1" applyFont="1" applyFill="1" applyBorder="1"/>
    <xf numFmtId="0" fontId="4" fillId="0" borderId="0" xfId="0" applyFont="1"/>
    <xf numFmtId="41" fontId="4" fillId="0" borderId="1" xfId="1" applyFont="1" applyBorder="1"/>
    <xf numFmtId="41" fontId="4" fillId="0" borderId="1" xfId="1" applyFont="1" applyFill="1" applyBorder="1"/>
    <xf numFmtId="41" fontId="4" fillId="0" borderId="0" xfId="1" applyFont="1" applyBorder="1"/>
    <xf numFmtId="41" fontId="11" fillId="9" borderId="1" xfId="1" applyFont="1" applyFill="1" applyBorder="1"/>
    <xf numFmtId="41" fontId="0" fillId="4" borderId="0" xfId="1" applyFont="1" applyFill="1" applyBorder="1"/>
    <xf numFmtId="41" fontId="4" fillId="0" borderId="1" xfId="3" applyFont="1" applyBorder="1"/>
    <xf numFmtId="0" fontId="12" fillId="0" borderId="1" xfId="0" applyFont="1" applyFill="1" applyBorder="1"/>
    <xf numFmtId="0" fontId="12" fillId="0" borderId="0" xfId="0" applyFont="1"/>
    <xf numFmtId="14" fontId="0" fillId="0" borderId="0" xfId="0" applyNumberFormat="1" applyFill="1" applyBorder="1"/>
    <xf numFmtId="0" fontId="0" fillId="0" borderId="6" xfId="0" applyFill="1" applyBorder="1"/>
    <xf numFmtId="41" fontId="0" fillId="0" borderId="6" xfId="1" applyFont="1" applyFill="1" applyBorder="1"/>
    <xf numFmtId="41" fontId="4" fillId="6" borderId="1" xfId="1" applyFont="1" applyFill="1" applyBorder="1"/>
    <xf numFmtId="41" fontId="4" fillId="0" borderId="5" xfId="1" applyFont="1" applyFill="1" applyBorder="1"/>
    <xf numFmtId="41" fontId="0" fillId="9" borderId="0" xfId="1" applyFont="1" applyFill="1"/>
    <xf numFmtId="0" fontId="13" fillId="9" borderId="0" xfId="0" applyFont="1" applyFill="1"/>
    <xf numFmtId="0" fontId="13" fillId="9" borderId="1" xfId="0" applyFont="1" applyFill="1" applyBorder="1"/>
    <xf numFmtId="41" fontId="13" fillId="9" borderId="1" xfId="1" applyFont="1" applyFill="1" applyBorder="1"/>
    <xf numFmtId="41" fontId="13" fillId="11" borderId="1" xfId="1" applyFont="1" applyFill="1" applyBorder="1"/>
    <xf numFmtId="41" fontId="6" fillId="9" borderId="0" xfId="1" applyFont="1" applyFill="1" applyBorder="1"/>
    <xf numFmtId="41" fontId="0" fillId="9" borderId="0" xfId="1" applyFont="1" applyFill="1" applyBorder="1"/>
    <xf numFmtId="41" fontId="1" fillId="9" borderId="0" xfId="1" applyFont="1" applyFill="1" applyBorder="1"/>
    <xf numFmtId="41" fontId="0" fillId="9" borderId="0" xfId="0" applyNumberFormat="1" applyFill="1" applyBorder="1"/>
    <xf numFmtId="0" fontId="0" fillId="9" borderId="0" xfId="0" applyFill="1" applyBorder="1"/>
    <xf numFmtId="41" fontId="9" fillId="9" borderId="0" xfId="1" applyFont="1" applyFill="1" applyBorder="1"/>
    <xf numFmtId="41" fontId="7" fillId="9" borderId="0" xfId="1" applyFont="1" applyFill="1" applyBorder="1"/>
    <xf numFmtId="41" fontId="8" fillId="9" borderId="0" xfId="1" applyFont="1" applyFill="1" applyBorder="1"/>
    <xf numFmtId="0" fontId="3" fillId="0" borderId="0" xfId="0" applyFont="1" applyBorder="1"/>
    <xf numFmtId="0" fontId="6" fillId="0" borderId="0" xfId="0" applyFont="1"/>
    <xf numFmtId="41" fontId="6" fillId="0" borderId="0" xfId="1" applyFont="1"/>
    <xf numFmtId="14" fontId="0" fillId="0" borderId="3" xfId="0" applyNumberFormat="1" applyFill="1" applyBorder="1"/>
    <xf numFmtId="14" fontId="0" fillId="0" borderId="2" xfId="0" applyNumberFormat="1" applyFill="1" applyBorder="1"/>
    <xf numFmtId="0" fontId="0" fillId="0" borderId="3" xfId="0" applyBorder="1"/>
    <xf numFmtId="0" fontId="13" fillId="11" borderId="2" xfId="0" applyFont="1" applyFill="1" applyBorder="1"/>
    <xf numFmtId="0" fontId="14" fillId="9" borderId="1" xfId="0" applyFont="1" applyFill="1" applyBorder="1"/>
    <xf numFmtId="43" fontId="14" fillId="9" borderId="1" xfId="0" applyNumberFormat="1" applyFont="1" applyFill="1" applyBorder="1"/>
    <xf numFmtId="41" fontId="14" fillId="9" borderId="1" xfId="1" applyFont="1" applyFill="1" applyBorder="1"/>
    <xf numFmtId="41" fontId="15" fillId="5" borderId="1" xfId="1" applyFont="1" applyFill="1" applyBorder="1"/>
    <xf numFmtId="41" fontId="2" fillId="0" borderId="0" xfId="1" applyFont="1" applyBorder="1"/>
    <xf numFmtId="0" fontId="3" fillId="3" borderId="0" xfId="0" applyFont="1" applyFill="1" applyBorder="1"/>
    <xf numFmtId="41" fontId="3" fillId="3" borderId="0" xfId="1" applyFont="1" applyFill="1" applyBorder="1"/>
    <xf numFmtId="43" fontId="0" fillId="0" borderId="0" xfId="0" applyNumberFormat="1" applyBorder="1"/>
    <xf numFmtId="14" fontId="0" fillId="6" borderId="0" xfId="0" applyNumberFormat="1" applyFill="1" applyBorder="1"/>
    <xf numFmtId="0" fontId="13" fillId="4" borderId="3" xfId="0" applyFont="1" applyFill="1" applyBorder="1"/>
    <xf numFmtId="41" fontId="13" fillId="4" borderId="3" xfId="1" applyFont="1" applyFill="1" applyBorder="1"/>
    <xf numFmtId="14" fontId="0" fillId="9" borderId="0" xfId="0" applyNumberFormat="1" applyFill="1" applyBorder="1"/>
    <xf numFmtId="0" fontId="13" fillId="9" borderId="0" xfId="0" applyFont="1" applyFill="1" applyBorder="1"/>
    <xf numFmtId="41" fontId="13" fillId="9" borderId="0" xfId="1" applyFont="1" applyFill="1" applyBorder="1"/>
    <xf numFmtId="14" fontId="0" fillId="9" borderId="7" xfId="0" applyNumberFormat="1" applyFill="1" applyBorder="1"/>
    <xf numFmtId="0" fontId="13" fillId="9" borderId="7" xfId="0" applyFont="1" applyFill="1" applyBorder="1"/>
    <xf numFmtId="41" fontId="13" fillId="9" borderId="7" xfId="1" applyFont="1" applyFill="1" applyBorder="1"/>
    <xf numFmtId="14" fontId="0" fillId="4" borderId="1" xfId="0" applyNumberFormat="1" applyFill="1" applyBorder="1"/>
    <xf numFmtId="0" fontId="2" fillId="9" borderId="1" xfId="0" applyFont="1" applyFill="1" applyBorder="1"/>
    <xf numFmtId="14" fontId="0" fillId="7" borderId="1" xfId="0" applyNumberFormat="1" applyFill="1" applyBorder="1"/>
    <xf numFmtId="0" fontId="0" fillId="7" borderId="1" xfId="0" applyFill="1" applyBorder="1"/>
    <xf numFmtId="0" fontId="0" fillId="7" borderId="1" xfId="0" applyFont="1" applyFill="1" applyBorder="1"/>
    <xf numFmtId="0" fontId="0" fillId="7" borderId="1" xfId="0" applyFill="1" applyBorder="1" applyAlignment="1">
      <alignment horizontal="right"/>
    </xf>
    <xf numFmtId="41" fontId="1" fillId="7" borderId="1" xfId="1" applyFont="1" applyFill="1" applyBorder="1"/>
    <xf numFmtId="41" fontId="4" fillId="0" borderId="0" xfId="0" applyNumberFormat="1" applyFont="1"/>
    <xf numFmtId="17" fontId="0" fillId="10" borderId="1" xfId="0" applyNumberFormat="1" applyFill="1" applyBorder="1"/>
    <xf numFmtId="43" fontId="0" fillId="6" borderId="0" xfId="0" applyNumberFormat="1" applyFill="1"/>
    <xf numFmtId="41" fontId="15" fillId="9" borderId="1" xfId="1" applyFont="1" applyFill="1" applyBorder="1"/>
    <xf numFmtId="41" fontId="14" fillId="9" borderId="1" xfId="0" applyNumberFormat="1" applyFont="1" applyFill="1" applyBorder="1"/>
    <xf numFmtId="14" fontId="13" fillId="2" borderId="1" xfId="0" applyNumberFormat="1" applyFont="1" applyFill="1" applyBorder="1"/>
    <xf numFmtId="0" fontId="3" fillId="0" borderId="1" xfId="0" applyFont="1" applyFill="1" applyBorder="1"/>
    <xf numFmtId="0" fontId="0" fillId="6" borderId="0" xfId="0" applyFill="1" applyBorder="1"/>
    <xf numFmtId="41" fontId="0" fillId="12" borderId="1" xfId="1" applyFont="1" applyFill="1" applyBorder="1"/>
    <xf numFmtId="0" fontId="0" fillId="4" borderId="3" xfId="0" applyFill="1" applyBorder="1"/>
    <xf numFmtId="41" fontId="0" fillId="4" borderId="3" xfId="1" applyFont="1" applyFill="1" applyBorder="1"/>
    <xf numFmtId="41" fontId="0" fillId="0" borderId="3" xfId="1" applyFont="1" applyBorder="1"/>
    <xf numFmtId="41" fontId="0" fillId="6" borderId="3" xfId="1" applyFont="1" applyFill="1" applyBorder="1"/>
    <xf numFmtId="41" fontId="1" fillId="9" borderId="1" xfId="1" applyFont="1" applyFill="1" applyBorder="1"/>
    <xf numFmtId="41" fontId="16" fillId="5" borderId="1" xfId="1" applyFont="1" applyFill="1" applyBorder="1"/>
    <xf numFmtId="0" fontId="4" fillId="13" borderId="0" xfId="0" applyFont="1" applyFill="1"/>
    <xf numFmtId="0" fontId="16" fillId="6" borderId="0" xfId="0" applyFont="1" applyFill="1"/>
    <xf numFmtId="0" fontId="4" fillId="6" borderId="0" xfId="0" applyFont="1" applyFill="1"/>
    <xf numFmtId="0" fontId="0" fillId="9" borderId="1" xfId="0" applyFont="1" applyFill="1" applyBorder="1"/>
    <xf numFmtId="14" fontId="0" fillId="0" borderId="5" xfId="0" applyNumberFormat="1" applyFill="1" applyBorder="1"/>
    <xf numFmtId="41" fontId="0" fillId="4" borderId="0" xfId="3" applyFont="1" applyFill="1"/>
    <xf numFmtId="0" fontId="13" fillId="4" borderId="0" xfId="0" applyFont="1" applyFill="1"/>
    <xf numFmtId="41" fontId="13" fillId="4" borderId="0" xfId="3" applyFont="1" applyFill="1"/>
    <xf numFmtId="0" fontId="17" fillId="0" borderId="0" xfId="0" applyFont="1" applyFill="1" applyBorder="1"/>
    <xf numFmtId="0" fontId="0" fillId="9" borderId="6" xfId="0" applyFont="1" applyFill="1" applyBorder="1"/>
    <xf numFmtId="0" fontId="0" fillId="9" borderId="6" xfId="0" applyFill="1" applyBorder="1"/>
    <xf numFmtId="0" fontId="4" fillId="6" borderId="1" xfId="0" applyFont="1" applyFill="1" applyBorder="1"/>
    <xf numFmtId="14" fontId="0" fillId="0" borderId="4" xfId="0" applyNumberFormat="1" applyBorder="1"/>
    <xf numFmtId="0" fontId="0" fillId="0" borderId="2" xfId="0" applyFill="1" applyBorder="1"/>
    <xf numFmtId="41" fontId="0" fillId="0" borderId="2" xfId="1" applyFont="1" applyFill="1" applyBorder="1"/>
    <xf numFmtId="0" fontId="2" fillId="9" borderId="0" xfId="0" applyFont="1" applyFill="1" applyBorder="1"/>
    <xf numFmtId="43" fontId="0" fillId="9" borderId="0" xfId="0" applyNumberFormat="1" applyFill="1" applyBorder="1"/>
    <xf numFmtId="41" fontId="4" fillId="8" borderId="1" xfId="1" applyFont="1" applyFill="1" applyBorder="1"/>
    <xf numFmtId="41" fontId="0" fillId="0" borderId="0" xfId="0" applyNumberFormat="1" applyBorder="1"/>
    <xf numFmtId="0" fontId="4" fillId="0" borderId="0" xfId="0" applyFont="1" applyBorder="1"/>
    <xf numFmtId="0" fontId="4" fillId="9" borderId="0" xfId="0" applyFont="1" applyFill="1" applyBorder="1"/>
    <xf numFmtId="41" fontId="0" fillId="8" borderId="1" xfId="0" applyNumberFormat="1" applyFill="1" applyBorder="1"/>
    <xf numFmtId="0" fontId="13" fillId="4" borderId="1" xfId="0" applyFont="1" applyFill="1" applyBorder="1"/>
    <xf numFmtId="41" fontId="13" fillId="4" borderId="1" xfId="1" applyFont="1" applyFill="1" applyBorder="1"/>
    <xf numFmtId="0" fontId="13" fillId="11" borderId="1" xfId="0" applyFont="1" applyFill="1" applyBorder="1"/>
    <xf numFmtId="14" fontId="13" fillId="4" borderId="1" xfId="0" applyNumberFormat="1" applyFont="1" applyFill="1" applyBorder="1"/>
    <xf numFmtId="14" fontId="0" fillId="2" borderId="1" xfId="0" applyNumberFormat="1" applyFont="1" applyFill="1" applyBorder="1"/>
    <xf numFmtId="0" fontId="0" fillId="2" borderId="1" xfId="0" applyFont="1" applyFill="1" applyBorder="1"/>
    <xf numFmtId="41" fontId="18" fillId="4" borderId="1" xfId="1" applyFont="1" applyFill="1" applyBorder="1"/>
    <xf numFmtId="14" fontId="0" fillId="9" borderId="1" xfId="0" applyNumberFormat="1" applyFont="1" applyFill="1" applyBorder="1"/>
    <xf numFmtId="41" fontId="6" fillId="6" borderId="0" xfId="1" applyFont="1" applyFill="1" applyBorder="1"/>
    <xf numFmtId="0" fontId="6" fillId="6" borderId="0" xfId="0" applyFont="1" applyFill="1"/>
    <xf numFmtId="41" fontId="6" fillId="6" borderId="0" xfId="1" applyFont="1" applyFill="1"/>
    <xf numFmtId="41" fontId="4" fillId="9" borderId="0" xfId="1" applyFont="1" applyFill="1" applyBorder="1"/>
    <xf numFmtId="14" fontId="0" fillId="14" borderId="0" xfId="0" applyNumberFormat="1" applyFill="1" applyBorder="1"/>
    <xf numFmtId="0" fontId="0" fillId="14" borderId="6" xfId="0" applyFill="1" applyBorder="1"/>
    <xf numFmtId="0" fontId="0" fillId="14" borderId="0" xfId="0" applyFill="1" applyBorder="1"/>
    <xf numFmtId="41" fontId="0" fillId="14" borderId="0" xfId="1" applyFont="1" applyFill="1" applyBorder="1"/>
    <xf numFmtId="14" fontId="0" fillId="14" borderId="1" xfId="0" applyNumberFormat="1" applyFill="1" applyBorder="1"/>
    <xf numFmtId="0" fontId="0" fillId="14" borderId="1" xfId="0" applyFill="1" applyBorder="1"/>
    <xf numFmtId="41" fontId="0" fillId="14" borderId="1" xfId="1" applyFont="1" applyFill="1" applyBorder="1"/>
    <xf numFmtId="0" fontId="0" fillId="4" borderId="6" xfId="0" applyFill="1" applyBorder="1"/>
    <xf numFmtId="41" fontId="0" fillId="0" borderId="0" xfId="3" applyFont="1"/>
    <xf numFmtId="0" fontId="19" fillId="14" borderId="0" xfId="0" applyFont="1" applyFill="1"/>
    <xf numFmtId="14" fontId="20" fillId="15" borderId="1" xfId="0" applyNumberFormat="1" applyFont="1" applyFill="1" applyBorder="1"/>
    <xf numFmtId="0" fontId="20" fillId="15" borderId="1" xfId="0" applyFont="1" applyFill="1" applyBorder="1"/>
    <xf numFmtId="41" fontId="20" fillId="15" borderId="1" xfId="1" applyFont="1" applyFill="1" applyBorder="1"/>
    <xf numFmtId="41" fontId="0" fillId="9" borderId="0" xfId="3" applyFont="1" applyFill="1"/>
    <xf numFmtId="41" fontId="13" fillId="9" borderId="0" xfId="3" applyFont="1" applyFill="1"/>
    <xf numFmtId="0" fontId="20" fillId="15" borderId="0" xfId="0" applyFont="1" applyFill="1"/>
    <xf numFmtId="41" fontId="20" fillId="15" borderId="0" xfId="1" applyFont="1" applyFill="1"/>
    <xf numFmtId="0" fontId="6" fillId="9" borderId="0" xfId="0" applyFont="1" applyFill="1" applyBorder="1"/>
    <xf numFmtId="14" fontId="6" fillId="9" borderId="0" xfId="0" applyNumberFormat="1" applyFont="1" applyFill="1" applyBorder="1"/>
    <xf numFmtId="41" fontId="19" fillId="0" borderId="0" xfId="0" applyNumberFormat="1" applyFont="1"/>
    <xf numFmtId="0" fontId="2" fillId="16" borderId="0" xfId="0" applyFont="1" applyFill="1"/>
    <xf numFmtId="41" fontId="19" fillId="10" borderId="0" xfId="0" applyNumberFormat="1" applyFont="1" applyFill="1"/>
    <xf numFmtId="41" fontId="20" fillId="10" borderId="0" xfId="1" applyFont="1" applyFill="1"/>
    <xf numFmtId="41" fontId="0" fillId="10" borderId="0" xfId="3" applyFont="1" applyFill="1"/>
    <xf numFmtId="41" fontId="21" fillId="0" borderId="0" xfId="1" applyFont="1" applyBorder="1"/>
    <xf numFmtId="41" fontId="3" fillId="0" borderId="0" xfId="1" applyFont="1"/>
    <xf numFmtId="41" fontId="3" fillId="15" borderId="0" xfId="1" applyFont="1" applyFill="1"/>
    <xf numFmtId="41" fontId="3" fillId="0" borderId="1" xfId="1" applyFont="1" applyBorder="1"/>
    <xf numFmtId="41" fontId="3" fillId="0" borderId="0" xfId="3" applyFont="1"/>
    <xf numFmtId="41" fontId="4" fillId="9" borderId="0" xfId="0" applyNumberFormat="1" applyFont="1" applyFill="1" applyBorder="1"/>
    <xf numFmtId="41" fontId="13" fillId="4" borderId="3" xfId="0" applyNumberFormat="1" applyFont="1" applyFill="1" applyBorder="1"/>
    <xf numFmtId="43" fontId="13" fillId="9" borderId="1" xfId="0" applyNumberFormat="1" applyFont="1" applyFill="1" applyBorder="1"/>
    <xf numFmtId="14" fontId="0" fillId="4" borderId="0" xfId="0" applyNumberFormat="1" applyFill="1"/>
    <xf numFmtId="14" fontId="13" fillId="4" borderId="0" xfId="0" applyNumberFormat="1" applyFont="1" applyFill="1"/>
    <xf numFmtId="14" fontId="0" fillId="6" borderId="4" xfId="0" applyNumberFormat="1" applyFill="1" applyBorder="1"/>
    <xf numFmtId="14" fontId="2" fillId="10" borderId="1" xfId="0" applyNumberFormat="1" applyFont="1" applyFill="1" applyBorder="1"/>
    <xf numFmtId="14" fontId="0" fillId="9" borderId="0" xfId="0" applyNumberFormat="1" applyFill="1"/>
    <xf numFmtId="14" fontId="13" fillId="9" borderId="0" xfId="0" applyNumberFormat="1" applyFont="1" applyFill="1"/>
    <xf numFmtId="0" fontId="2" fillId="18" borderId="8" xfId="0" applyFont="1" applyFill="1" applyBorder="1" applyAlignment="1">
      <alignment vertical="top"/>
    </xf>
    <xf numFmtId="0" fontId="2" fillId="18" borderId="9" xfId="0" applyFont="1" applyFill="1" applyBorder="1" applyAlignment="1">
      <alignment vertical="top"/>
    </xf>
    <xf numFmtId="0" fontId="2" fillId="18" borderId="10" xfId="0" applyFont="1" applyFill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164" fontId="0" fillId="0" borderId="12" xfId="0" applyNumberFormat="1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164" fontId="0" fillId="0" borderId="15" xfId="0" applyNumberFormat="1" applyBorder="1" applyAlignment="1">
      <alignment vertical="top"/>
    </xf>
    <xf numFmtId="0" fontId="0" fillId="0" borderId="16" xfId="0" applyBorder="1" applyAlignment="1">
      <alignment vertical="top"/>
    </xf>
    <xf numFmtId="0" fontId="27" fillId="0" borderId="16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3" xfId="0" quotePrefix="1" applyBorder="1" applyAlignment="1">
      <alignment vertical="top"/>
    </xf>
    <xf numFmtId="0" fontId="2" fillId="19" borderId="14" xfId="0" applyFont="1" applyFill="1" applyBorder="1" applyAlignment="1">
      <alignment vertical="top"/>
    </xf>
    <xf numFmtId="164" fontId="2" fillId="19" borderId="15" xfId="0" applyNumberFormat="1" applyFont="1" applyFill="1" applyBorder="1" applyAlignment="1">
      <alignment vertical="top"/>
    </xf>
    <xf numFmtId="0" fontId="0" fillId="0" borderId="12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24" fillId="17" borderId="0" xfId="0" applyFont="1" applyFill="1" applyAlignment="1"/>
    <xf numFmtId="0" fontId="25" fillId="0" borderId="0" xfId="0" applyFont="1" applyAlignment="1"/>
    <xf numFmtId="0" fontId="0" fillId="0" borderId="0" xfId="0" applyAlignment="1"/>
    <xf numFmtId="0" fontId="26" fillId="0" borderId="0" xfId="0" applyFont="1" applyAlignment="1"/>
    <xf numFmtId="0" fontId="28" fillId="0" borderId="0" xfId="0" applyFont="1" applyAlignment="1"/>
    <xf numFmtId="49" fontId="0" fillId="0" borderId="11" xfId="0" applyNumberFormat="1" applyBorder="1" applyAlignment="1">
      <alignment vertical="top"/>
    </xf>
    <xf numFmtId="49" fontId="0" fillId="0" borderId="12" xfId="0" applyNumberFormat="1" applyBorder="1" applyAlignment="1">
      <alignment vertical="top"/>
    </xf>
  </cellXfs>
  <cellStyles count="4">
    <cellStyle name="Comma [0]" xfId="1" builtinId="6"/>
    <cellStyle name="Comma [0] 2" xfId="3" xr:uid="{67953066-51DC-4AED-841A-C79C96F2F96B}"/>
    <cellStyle name="Normal" xfId="0" builtinId="0"/>
    <cellStyle name="Normal 2" xfId="2" xr:uid="{CBC11BA4-1EA9-47B5-B888-96223DCE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882CC-F9AD-4FE0-9071-EB733E355D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d9f691-a43b-4542-ad1c-cb0a45637ff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9B7E-8223-45D7-8941-6CB1211E4114}">
  <sheetPr>
    <tabColor rgb="FF1F4E78"/>
  </sheetPr>
  <dimension ref="A1:E56"/>
  <sheetViews>
    <sheetView tabSelected="1" workbookViewId="0">
      <pane ySplit="2" topLeftCell="A3" activePane="bottomLeft" state="frozen"/>
      <selection pane="bottomLeft" activeCell="E71" sqref="E71"/>
    </sheetView>
  </sheetViews>
  <sheetFormatPr defaultRowHeight="14.4" x14ac:dyDescent="0.3"/>
  <cols>
    <col min="1" max="1" width="38.88671875" customWidth="1"/>
    <col min="2" max="2" width="27.77734375" customWidth="1"/>
    <col min="3" max="4" width="24.109375" customWidth="1"/>
    <col min="5" max="5" width="48.109375" customWidth="1"/>
  </cols>
  <sheetData>
    <row r="1" spans="1:5" ht="18" x14ac:dyDescent="0.35">
      <c r="A1" s="249" t="s">
        <v>410</v>
      </c>
      <c r="B1" s="249"/>
      <c r="C1" s="249"/>
      <c r="D1" s="249"/>
      <c r="E1" s="249"/>
    </row>
    <row r="2" spans="1:5" x14ac:dyDescent="0.3">
      <c r="A2" s="250" t="s">
        <v>411</v>
      </c>
      <c r="B2" s="250"/>
      <c r="C2" s="250"/>
      <c r="D2" s="250"/>
      <c r="E2" s="250"/>
    </row>
    <row r="3" spans="1:5" x14ac:dyDescent="0.3">
      <c r="A3" s="251"/>
      <c r="B3" s="251"/>
      <c r="C3" s="251"/>
      <c r="D3" s="251"/>
      <c r="E3" s="251"/>
    </row>
    <row r="4" spans="1:5" ht="15.6" x14ac:dyDescent="0.3">
      <c r="A4" s="252" t="s">
        <v>412</v>
      </c>
      <c r="B4" s="251"/>
      <c r="C4" s="251"/>
      <c r="D4" s="251"/>
      <c r="E4" s="251"/>
    </row>
    <row r="5" spans="1:5" x14ac:dyDescent="0.3">
      <c r="A5" s="231" t="s">
        <v>413</v>
      </c>
      <c r="B5" s="232" t="s">
        <v>414</v>
      </c>
      <c r="C5" s="232" t="s">
        <v>415</v>
      </c>
      <c r="D5" s="232" t="s">
        <v>416</v>
      </c>
      <c r="E5" s="233" t="s">
        <v>417</v>
      </c>
    </row>
    <row r="6" spans="1:5" x14ac:dyDescent="0.3">
      <c r="A6" s="234" t="s">
        <v>418</v>
      </c>
      <c r="B6" s="235" t="s">
        <v>419</v>
      </c>
      <c r="C6" s="236">
        <v>301</v>
      </c>
      <c r="D6" s="235" t="s">
        <v>420</v>
      </c>
      <c r="E6" s="237" t="s">
        <v>421</v>
      </c>
    </row>
    <row r="7" spans="1:5" x14ac:dyDescent="0.3">
      <c r="A7" s="234" t="s">
        <v>422</v>
      </c>
      <c r="B7" s="235" t="s">
        <v>423</v>
      </c>
      <c r="C7" s="236">
        <v>352</v>
      </c>
      <c r="D7" s="235" t="s">
        <v>420</v>
      </c>
      <c r="E7" s="237" t="s">
        <v>424</v>
      </c>
    </row>
    <row r="8" spans="1:5" x14ac:dyDescent="0.3">
      <c r="A8" s="234" t="s">
        <v>425</v>
      </c>
      <c r="B8" s="235" t="s">
        <v>426</v>
      </c>
      <c r="C8" s="236">
        <v>349</v>
      </c>
      <c r="D8" s="235" t="s">
        <v>427</v>
      </c>
      <c r="E8" s="237" t="s">
        <v>428</v>
      </c>
    </row>
    <row r="9" spans="1:5" x14ac:dyDescent="0.3">
      <c r="A9" s="234" t="s">
        <v>429</v>
      </c>
      <c r="B9" s="235" t="s">
        <v>430</v>
      </c>
      <c r="C9" s="236">
        <v>0</v>
      </c>
      <c r="D9" s="235" t="s">
        <v>431</v>
      </c>
      <c r="E9" s="237" t="s">
        <v>432</v>
      </c>
    </row>
    <row r="10" spans="1:5" x14ac:dyDescent="0.3">
      <c r="A10" s="234" t="s">
        <v>433</v>
      </c>
      <c r="B10" s="235" t="s">
        <v>434</v>
      </c>
      <c r="C10" s="236">
        <v>170</v>
      </c>
      <c r="D10" s="235" t="s">
        <v>427</v>
      </c>
      <c r="E10" s="237" t="s">
        <v>435</v>
      </c>
    </row>
    <row r="11" spans="1:5" x14ac:dyDescent="0.3">
      <c r="A11" s="234" t="s">
        <v>436</v>
      </c>
      <c r="B11" s="255" t="s">
        <v>437</v>
      </c>
      <c r="C11" s="236">
        <v>47</v>
      </c>
      <c r="D11" s="235" t="s">
        <v>427</v>
      </c>
      <c r="E11" s="237" t="s">
        <v>438</v>
      </c>
    </row>
    <row r="12" spans="1:5" x14ac:dyDescent="0.3">
      <c r="A12" s="234" t="s">
        <v>439</v>
      </c>
      <c r="B12" s="235" t="s">
        <v>440</v>
      </c>
      <c r="C12" s="236">
        <v>44</v>
      </c>
      <c r="D12" s="235" t="s">
        <v>441</v>
      </c>
      <c r="E12" s="237" t="s">
        <v>442</v>
      </c>
    </row>
    <row r="13" spans="1:5" x14ac:dyDescent="0.3">
      <c r="A13" s="238" t="s">
        <v>443</v>
      </c>
      <c r="B13" s="239" t="s">
        <v>444</v>
      </c>
      <c r="C13" s="240">
        <v>9</v>
      </c>
      <c r="D13" s="239" t="s">
        <v>420</v>
      </c>
      <c r="E13" s="241" t="s">
        <v>445</v>
      </c>
    </row>
    <row r="14" spans="1:5" x14ac:dyDescent="0.3">
      <c r="A14" s="251"/>
      <c r="B14" s="251"/>
      <c r="C14" s="251"/>
      <c r="D14" s="251"/>
      <c r="E14" s="251"/>
    </row>
    <row r="15" spans="1:5" x14ac:dyDescent="0.3">
      <c r="A15" s="251"/>
      <c r="B15" s="251"/>
      <c r="C15" s="251"/>
      <c r="D15" s="251"/>
      <c r="E15" s="251"/>
    </row>
    <row r="16" spans="1:5" ht="15.6" x14ac:dyDescent="0.3">
      <c r="A16" s="252" t="s">
        <v>446</v>
      </c>
      <c r="B16" s="251"/>
      <c r="C16" s="251"/>
      <c r="D16" s="251"/>
      <c r="E16" s="251"/>
    </row>
    <row r="17" spans="1:5" x14ac:dyDescent="0.3">
      <c r="A17" s="231" t="s">
        <v>447</v>
      </c>
      <c r="B17" s="232" t="s">
        <v>448</v>
      </c>
      <c r="C17" s="232" t="s">
        <v>299</v>
      </c>
      <c r="D17" s="232" t="s">
        <v>449</v>
      </c>
      <c r="E17" s="233" t="s">
        <v>450</v>
      </c>
    </row>
    <row r="18" spans="1:5" x14ac:dyDescent="0.3">
      <c r="A18" s="254" t="s">
        <v>519</v>
      </c>
      <c r="B18" s="236">
        <f>'ANNUAL REPORT'!G39-C18</f>
        <v>17678888</v>
      </c>
      <c r="C18" s="236">
        <f>SUM('ANNUAL REPORT'!F1:F38)</f>
        <v>890944</v>
      </c>
      <c r="D18" s="236">
        <f>'ANNUAL REPORT'!G39</f>
        <v>18569832</v>
      </c>
      <c r="E18" s="237" t="s">
        <v>451</v>
      </c>
    </row>
    <row r="19" spans="1:5" x14ac:dyDescent="0.3">
      <c r="A19" s="254" t="s">
        <v>520</v>
      </c>
      <c r="B19" s="236">
        <f>'ANNUAL REPORT'!F48</f>
        <v>11564800</v>
      </c>
      <c r="C19" s="236">
        <v>0</v>
      </c>
      <c r="D19" s="236">
        <f>B19+C19</f>
        <v>11564800</v>
      </c>
      <c r="E19" s="237" t="s">
        <v>452</v>
      </c>
    </row>
    <row r="20" spans="1:5" x14ac:dyDescent="0.3">
      <c r="A20" s="254" t="s">
        <v>521</v>
      </c>
      <c r="B20" s="236">
        <f>'ANNUAL REPORT'!F59</f>
        <v>7065152.54</v>
      </c>
      <c r="C20" s="236">
        <f>'ANNUAL REPORT'!G54</f>
        <v>152847.46000000002</v>
      </c>
      <c r="D20" s="236">
        <f>B20+C20</f>
        <v>7218000</v>
      </c>
      <c r="E20" s="237" t="s">
        <v>453</v>
      </c>
    </row>
    <row r="21" spans="1:5" x14ac:dyDescent="0.3">
      <c r="A21" s="254" t="s">
        <v>522</v>
      </c>
      <c r="B21" s="236">
        <f>'ANNUAL REPORT'!F86</f>
        <v>11872522.43</v>
      </c>
      <c r="C21" s="236">
        <f>'ANNUAL REPORT'!G74</f>
        <v>99696.97</v>
      </c>
      <c r="D21" s="236">
        <f>B21+C21</f>
        <v>11972219.4</v>
      </c>
      <c r="E21" s="237" t="s">
        <v>454</v>
      </c>
    </row>
    <row r="22" spans="1:5" x14ac:dyDescent="0.3">
      <c r="A22" s="254" t="s">
        <v>523</v>
      </c>
      <c r="B22" s="236">
        <f>'ANNUAL REPORT'!F121</f>
        <v>3516620.5300000003</v>
      </c>
      <c r="C22" s="236">
        <f>'ANNUAL REPORT'!G114</f>
        <v>402609.59000000008</v>
      </c>
      <c r="D22" s="236">
        <f>B22+C22</f>
        <v>3919230.12</v>
      </c>
      <c r="E22" s="237" t="s">
        <v>455</v>
      </c>
    </row>
    <row r="23" spans="1:5" x14ac:dyDescent="0.3">
      <c r="A23" s="254" t="s">
        <v>524</v>
      </c>
      <c r="B23" s="236">
        <f>'ANNUAL REPORT'!F170</f>
        <v>4406817.2799999993</v>
      </c>
      <c r="C23" s="236">
        <f>'ANNUAL REPORT'!G157</f>
        <v>345905.4000000002</v>
      </c>
      <c r="D23" s="236">
        <f>B23+C23</f>
        <v>4752722.68</v>
      </c>
      <c r="E23" s="237" t="s">
        <v>456</v>
      </c>
    </row>
    <row r="24" spans="1:5" x14ac:dyDescent="0.3">
      <c r="A24" s="245" t="s">
        <v>457</v>
      </c>
      <c r="B24" s="246">
        <f>SUM(B18:B23)</f>
        <v>56104800.780000001</v>
      </c>
      <c r="C24" s="246">
        <f>SUM(C18:C23)</f>
        <v>1892003.4200000002</v>
      </c>
      <c r="D24" s="246">
        <f>SUM(D18:D23)</f>
        <v>57996804.199999996</v>
      </c>
      <c r="E24" s="242" t="s">
        <v>458</v>
      </c>
    </row>
    <row r="25" spans="1:5" x14ac:dyDescent="0.3">
      <c r="A25" s="251"/>
      <c r="B25" s="251"/>
      <c r="C25" s="251"/>
      <c r="D25" s="251"/>
      <c r="E25" s="251"/>
    </row>
    <row r="26" spans="1:5" x14ac:dyDescent="0.3">
      <c r="A26" s="251"/>
      <c r="B26" s="251"/>
      <c r="C26" s="251"/>
      <c r="D26" s="251"/>
      <c r="E26" s="251"/>
    </row>
    <row r="27" spans="1:5" ht="15.6" x14ac:dyDescent="0.3">
      <c r="A27" s="252" t="s">
        <v>459</v>
      </c>
      <c r="B27" s="251"/>
      <c r="C27" s="251"/>
      <c r="D27" s="251"/>
      <c r="E27" s="251"/>
    </row>
    <row r="28" spans="1:5" x14ac:dyDescent="0.3">
      <c r="A28" s="253" t="s">
        <v>460</v>
      </c>
      <c r="B28" s="253"/>
      <c r="C28" s="253"/>
      <c r="D28" s="253"/>
      <c r="E28" s="253"/>
    </row>
    <row r="29" spans="1:5" x14ac:dyDescent="0.3">
      <c r="A29" s="231" t="s">
        <v>413</v>
      </c>
      <c r="B29" s="232" t="s">
        <v>461</v>
      </c>
      <c r="C29" s="232" t="s">
        <v>462</v>
      </c>
      <c r="D29" s="243"/>
      <c r="E29" s="233" t="s">
        <v>463</v>
      </c>
    </row>
    <row r="30" spans="1:5" x14ac:dyDescent="0.3">
      <c r="A30" s="234" t="s">
        <v>418</v>
      </c>
      <c r="B30" s="235" t="s">
        <v>464</v>
      </c>
      <c r="C30" s="236">
        <f>'JAN FEB MARC'!G66</f>
        <v>24907</v>
      </c>
      <c r="D30" s="235"/>
      <c r="E30" s="237" t="s">
        <v>465</v>
      </c>
    </row>
    <row r="31" spans="1:5" x14ac:dyDescent="0.3">
      <c r="A31" s="234" t="s">
        <v>418</v>
      </c>
      <c r="B31" s="235" t="s">
        <v>466</v>
      </c>
      <c r="C31" s="236">
        <f>'JAN FEB MARC'!G127</f>
        <v>66483</v>
      </c>
      <c r="D31" s="235"/>
      <c r="E31" s="237" t="s">
        <v>467</v>
      </c>
    </row>
    <row r="32" spans="1:5" x14ac:dyDescent="0.3">
      <c r="A32" s="234" t="s">
        <v>418</v>
      </c>
      <c r="B32" s="235" t="s">
        <v>468</v>
      </c>
      <c r="C32" s="236">
        <f>'JAN FEB MARC'!G175</f>
        <v>-43481</v>
      </c>
      <c r="D32" s="235"/>
      <c r="E32" s="237" t="s">
        <v>469</v>
      </c>
    </row>
    <row r="33" spans="1:5" x14ac:dyDescent="0.3">
      <c r="A33" s="234" t="s">
        <v>422</v>
      </c>
      <c r="B33" s="235" t="s">
        <v>470</v>
      </c>
      <c r="C33" s="236">
        <f>'APRIL, MAY JUN'!G55</f>
        <v>-44966</v>
      </c>
      <c r="D33" s="235"/>
      <c r="E33" s="237" t="s">
        <v>469</v>
      </c>
    </row>
    <row r="34" spans="1:5" x14ac:dyDescent="0.3">
      <c r="A34" s="234" t="s">
        <v>422</v>
      </c>
      <c r="B34" s="235" t="s">
        <v>471</v>
      </c>
      <c r="C34" s="236">
        <f>'APRIL, MAY JUN'!G109</f>
        <v>-146503</v>
      </c>
      <c r="D34" s="235"/>
      <c r="E34" s="237" t="s">
        <v>469</v>
      </c>
    </row>
    <row r="35" spans="1:5" x14ac:dyDescent="0.3">
      <c r="A35" s="234" t="s">
        <v>422</v>
      </c>
      <c r="B35" s="235" t="s">
        <v>472</v>
      </c>
      <c r="C35" s="236">
        <f>'APRIL, MAY JUN'!G179</f>
        <v>-277473</v>
      </c>
      <c r="D35" s="235"/>
      <c r="E35" s="237" t="s">
        <v>473</v>
      </c>
    </row>
    <row r="36" spans="1:5" x14ac:dyDescent="0.3">
      <c r="A36" s="234" t="s">
        <v>422</v>
      </c>
      <c r="B36" s="235" t="s">
        <v>474</v>
      </c>
      <c r="C36" s="236">
        <f>'APRIL, MAY JUN'!G226</f>
        <v>3294175</v>
      </c>
      <c r="D36" s="235"/>
      <c r="E36" s="237" t="s">
        <v>475</v>
      </c>
    </row>
    <row r="37" spans="1:5" x14ac:dyDescent="0.3">
      <c r="A37" s="234" t="s">
        <v>425</v>
      </c>
      <c r="B37" s="235" t="s">
        <v>476</v>
      </c>
      <c r="C37" s="236">
        <f>'JULY AUG SEPT '!F55</f>
        <v>154401</v>
      </c>
      <c r="D37" s="235"/>
      <c r="E37" s="237" t="s">
        <v>477</v>
      </c>
    </row>
    <row r="38" spans="1:5" x14ac:dyDescent="0.3">
      <c r="A38" s="234" t="s">
        <v>425</v>
      </c>
      <c r="B38" s="235" t="s">
        <v>478</v>
      </c>
      <c r="C38" s="236">
        <f>'JULY AUG SEPT '!F109</f>
        <v>2943358.4745762711</v>
      </c>
      <c r="D38" s="235"/>
      <c r="E38" s="237" t="s">
        <v>479</v>
      </c>
    </row>
    <row r="39" spans="1:5" x14ac:dyDescent="0.3">
      <c r="A39" s="234" t="s">
        <v>425</v>
      </c>
      <c r="B39" s="235" t="s">
        <v>480</v>
      </c>
      <c r="C39" s="236">
        <f>'JULY AUG SEPT '!F176</f>
        <v>289793.52542372886</v>
      </c>
      <c r="D39" s="235"/>
      <c r="E39" s="237" t="s">
        <v>481</v>
      </c>
    </row>
    <row r="40" spans="1:5" x14ac:dyDescent="0.3">
      <c r="A40" s="234" t="s">
        <v>425</v>
      </c>
      <c r="B40" s="235" t="s">
        <v>482</v>
      </c>
      <c r="C40" s="236">
        <f>'JULY AUG SEPT '!F223</f>
        <v>3294175.4237288134</v>
      </c>
      <c r="D40" s="235"/>
      <c r="E40" s="237" t="s">
        <v>481</v>
      </c>
    </row>
    <row r="41" spans="1:5" x14ac:dyDescent="0.3">
      <c r="A41" s="238" t="s">
        <v>429</v>
      </c>
      <c r="B41" s="239" t="s">
        <v>483</v>
      </c>
      <c r="C41" s="240">
        <v>0</v>
      </c>
      <c r="D41" s="239"/>
      <c r="E41" s="241" t="s">
        <v>484</v>
      </c>
    </row>
    <row r="42" spans="1:5" x14ac:dyDescent="0.3">
      <c r="A42" s="251"/>
      <c r="B42" s="251"/>
      <c r="C42" s="251"/>
      <c r="D42" s="251"/>
      <c r="E42" s="251"/>
    </row>
    <row r="43" spans="1:5" x14ac:dyDescent="0.3">
      <c r="A43" s="251"/>
      <c r="B43" s="251"/>
      <c r="C43" s="251"/>
      <c r="D43" s="251"/>
      <c r="E43" s="251"/>
    </row>
    <row r="44" spans="1:5" ht="15.6" x14ac:dyDescent="0.3">
      <c r="A44" s="252" t="s">
        <v>485</v>
      </c>
      <c r="B44" s="251"/>
      <c r="C44" s="251"/>
      <c r="D44" s="251"/>
      <c r="E44" s="251"/>
    </row>
    <row r="45" spans="1:5" x14ac:dyDescent="0.3">
      <c r="A45" s="231" t="s">
        <v>413</v>
      </c>
      <c r="B45" s="232" t="s">
        <v>486</v>
      </c>
      <c r="C45" s="232" t="s">
        <v>487</v>
      </c>
      <c r="D45" s="232" t="s">
        <v>488</v>
      </c>
      <c r="E45" s="233" t="s">
        <v>489</v>
      </c>
    </row>
    <row r="46" spans="1:5" x14ac:dyDescent="0.3">
      <c r="A46" s="234" t="s">
        <v>433</v>
      </c>
      <c r="B46" s="235" t="s">
        <v>490</v>
      </c>
      <c r="C46" s="235" t="s">
        <v>491</v>
      </c>
      <c r="D46" s="247" t="s">
        <v>492</v>
      </c>
      <c r="E46" s="237" t="s">
        <v>493</v>
      </c>
    </row>
    <row r="47" spans="1:5" x14ac:dyDescent="0.3">
      <c r="A47" s="234" t="s">
        <v>425</v>
      </c>
      <c r="B47" s="235" t="s">
        <v>494</v>
      </c>
      <c r="C47" s="235" t="s">
        <v>491</v>
      </c>
      <c r="D47" s="247" t="s">
        <v>492</v>
      </c>
      <c r="E47" s="237" t="s">
        <v>495</v>
      </c>
    </row>
    <row r="48" spans="1:5" x14ac:dyDescent="0.3">
      <c r="A48" s="234" t="s">
        <v>436</v>
      </c>
      <c r="B48" s="235" t="s">
        <v>496</v>
      </c>
      <c r="C48" s="235" t="s">
        <v>491</v>
      </c>
      <c r="D48" s="247" t="s">
        <v>492</v>
      </c>
      <c r="E48" s="237" t="s">
        <v>525</v>
      </c>
    </row>
    <row r="49" spans="1:5" x14ac:dyDescent="0.3">
      <c r="A49" s="234" t="s">
        <v>497</v>
      </c>
      <c r="B49" s="235" t="s">
        <v>498</v>
      </c>
      <c r="C49" s="235" t="s">
        <v>499</v>
      </c>
      <c r="D49" s="247" t="s">
        <v>492</v>
      </c>
      <c r="E49" s="237" t="s">
        <v>500</v>
      </c>
    </row>
    <row r="50" spans="1:5" x14ac:dyDescent="0.3">
      <c r="A50" s="234" t="s">
        <v>429</v>
      </c>
      <c r="B50" s="235" t="s">
        <v>501</v>
      </c>
      <c r="C50" s="235" t="s">
        <v>491</v>
      </c>
      <c r="D50" s="247" t="s">
        <v>502</v>
      </c>
      <c r="E50" s="237" t="s">
        <v>503</v>
      </c>
    </row>
    <row r="51" spans="1:5" x14ac:dyDescent="0.3">
      <c r="A51" s="234" t="s">
        <v>433</v>
      </c>
      <c r="B51" s="235" t="s">
        <v>504</v>
      </c>
      <c r="C51" s="235" t="s">
        <v>499</v>
      </c>
      <c r="D51" s="247" t="s">
        <v>502</v>
      </c>
      <c r="E51" s="237" t="s">
        <v>505</v>
      </c>
    </row>
    <row r="52" spans="1:5" x14ac:dyDescent="0.3">
      <c r="A52" s="234" t="s">
        <v>506</v>
      </c>
      <c r="B52" s="235" t="s">
        <v>507</v>
      </c>
      <c r="C52" s="235" t="s">
        <v>499</v>
      </c>
      <c r="D52" s="247" t="s">
        <v>502</v>
      </c>
      <c r="E52" s="244" t="s">
        <v>508</v>
      </c>
    </row>
    <row r="53" spans="1:5" x14ac:dyDescent="0.3">
      <c r="A53" s="234" t="s">
        <v>418</v>
      </c>
      <c r="B53" s="235" t="s">
        <v>509</v>
      </c>
      <c r="C53" s="235" t="s">
        <v>499</v>
      </c>
      <c r="D53" s="247" t="s">
        <v>502</v>
      </c>
      <c r="E53" s="237" t="s">
        <v>510</v>
      </c>
    </row>
    <row r="54" spans="1:5" x14ac:dyDescent="0.3">
      <c r="A54" s="234" t="s">
        <v>511</v>
      </c>
      <c r="B54" s="235" t="s">
        <v>512</v>
      </c>
      <c r="C54" s="235" t="s">
        <v>499</v>
      </c>
      <c r="D54" s="247" t="s">
        <v>502</v>
      </c>
      <c r="E54" s="237" t="s">
        <v>513</v>
      </c>
    </row>
    <row r="55" spans="1:5" x14ac:dyDescent="0.3">
      <c r="A55" s="234" t="s">
        <v>433</v>
      </c>
      <c r="B55" s="235" t="s">
        <v>514</v>
      </c>
      <c r="C55" s="235" t="s">
        <v>515</v>
      </c>
      <c r="D55" s="247" t="s">
        <v>502</v>
      </c>
      <c r="E55" s="237" t="s">
        <v>516</v>
      </c>
    </row>
    <row r="56" spans="1:5" x14ac:dyDescent="0.3">
      <c r="A56" s="238" t="s">
        <v>517</v>
      </c>
      <c r="B56" s="239" t="s">
        <v>483</v>
      </c>
      <c r="C56" s="239" t="s">
        <v>515</v>
      </c>
      <c r="D56" s="248" t="s">
        <v>502</v>
      </c>
      <c r="E56" s="241" t="s">
        <v>518</v>
      </c>
    </row>
  </sheetData>
  <mergeCells count="3">
    <mergeCell ref="A1:E1"/>
    <mergeCell ref="A2:E2"/>
    <mergeCell ref="A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3"/>
  <sheetViews>
    <sheetView topLeftCell="A57" zoomScale="116" zoomScaleNormal="115" workbookViewId="0">
      <selection activeCell="H67" sqref="H67"/>
    </sheetView>
  </sheetViews>
  <sheetFormatPr defaultRowHeight="14.4" x14ac:dyDescent="0.3"/>
  <cols>
    <col min="1" max="1" width="12.33203125" customWidth="1"/>
    <col min="2" max="2" width="19.77734375" customWidth="1"/>
    <col min="3" max="3" width="39.109375" customWidth="1"/>
    <col min="4" max="4" width="22.88671875" customWidth="1"/>
    <col min="5" max="5" width="16.33203125" customWidth="1"/>
    <col min="6" max="6" width="15.44140625" style="8" customWidth="1"/>
    <col min="7" max="7" width="17.6640625" style="8" customWidth="1"/>
    <col min="8" max="8" width="17.21875" customWidth="1"/>
    <col min="9" max="9" width="18.33203125" customWidth="1"/>
    <col min="10" max="11" width="14.77734375" customWidth="1"/>
    <col min="12" max="12" width="16.6640625" customWidth="1"/>
    <col min="13" max="13" width="25.88671875" customWidth="1"/>
    <col min="17" max="17" width="9.109375" style="8" customWidth="1"/>
  </cols>
  <sheetData>
    <row r="1" spans="1:13" ht="21" x14ac:dyDescent="0.4">
      <c r="C1" s="31"/>
    </row>
    <row r="2" spans="1:13" x14ac:dyDescent="0.3">
      <c r="B2" s="145" t="s">
        <v>128</v>
      </c>
      <c r="L2" s="25"/>
      <c r="M2" s="25"/>
    </row>
    <row r="3" spans="1:13" s="3" customFormat="1" ht="21" x14ac:dyDescent="0.4">
      <c r="A3" s="4" t="s">
        <v>0</v>
      </c>
      <c r="B3" s="4" t="s">
        <v>2</v>
      </c>
      <c r="C3" s="4" t="s">
        <v>1</v>
      </c>
      <c r="D3" s="4" t="s">
        <v>3</v>
      </c>
      <c r="E3" s="4" t="s">
        <v>4</v>
      </c>
      <c r="F3" s="6" t="s">
        <v>5</v>
      </c>
      <c r="G3" s="6" t="s">
        <v>6</v>
      </c>
      <c r="J3" s="113"/>
      <c r="K3" s="113"/>
      <c r="L3" s="113"/>
      <c r="M3" s="113"/>
    </row>
    <row r="4" spans="1:13" x14ac:dyDescent="0.3">
      <c r="A4" s="30">
        <v>46028</v>
      </c>
      <c r="B4" s="1"/>
      <c r="C4" s="1" t="s">
        <v>10</v>
      </c>
      <c r="D4" s="1" t="s">
        <v>9</v>
      </c>
      <c r="E4" s="1"/>
      <c r="F4" s="7">
        <v>1037000</v>
      </c>
      <c r="G4" s="7">
        <v>6800000</v>
      </c>
      <c r="J4" s="25"/>
      <c r="K4" s="106"/>
      <c r="L4" s="25"/>
      <c r="M4" s="25"/>
    </row>
    <row r="5" spans="1:13" x14ac:dyDescent="0.3">
      <c r="A5" s="30">
        <v>46035</v>
      </c>
      <c r="B5" s="1"/>
      <c r="C5" s="1" t="s">
        <v>118</v>
      </c>
      <c r="D5" s="1" t="s">
        <v>9</v>
      </c>
      <c r="E5" s="1"/>
      <c r="F5" s="17">
        <v>1022034</v>
      </c>
      <c r="G5" s="55">
        <v>6700000</v>
      </c>
      <c r="J5" s="25"/>
      <c r="K5" s="106"/>
      <c r="L5" s="25"/>
      <c r="M5" s="25"/>
    </row>
    <row r="6" spans="1:13" x14ac:dyDescent="0.3">
      <c r="A6" s="53">
        <v>46044</v>
      </c>
      <c r="B6" s="54"/>
      <c r="C6" s="54" t="s">
        <v>114</v>
      </c>
      <c r="D6" s="54" t="s">
        <v>9</v>
      </c>
      <c r="E6" s="54"/>
      <c r="F6" s="55">
        <v>1000678</v>
      </c>
      <c r="G6" s="7">
        <v>6560000</v>
      </c>
      <c r="J6" s="25"/>
      <c r="K6" s="106"/>
      <c r="L6" s="25"/>
      <c r="M6" s="25"/>
    </row>
    <row r="7" spans="1:13" x14ac:dyDescent="0.3">
      <c r="A7" s="30">
        <v>46027</v>
      </c>
      <c r="B7" s="1"/>
      <c r="C7" s="1" t="s">
        <v>101</v>
      </c>
      <c r="D7" s="22" t="s">
        <v>59</v>
      </c>
      <c r="E7" s="22"/>
      <c r="F7" s="17">
        <v>290395</v>
      </c>
      <c r="G7" s="7">
        <v>1903699</v>
      </c>
      <c r="J7" s="25"/>
      <c r="K7" s="106"/>
      <c r="L7" s="25"/>
      <c r="M7" s="25"/>
    </row>
    <row r="8" spans="1:13" x14ac:dyDescent="0.3">
      <c r="A8" s="53"/>
      <c r="B8" s="54"/>
      <c r="C8" s="54"/>
      <c r="D8" s="54"/>
      <c r="E8" s="54"/>
      <c r="F8" s="19">
        <f>SUM(F4:F7)</f>
        <v>3350107</v>
      </c>
      <c r="G8" s="13">
        <f>SUM(G4:G7)</f>
        <v>21963699</v>
      </c>
      <c r="J8" s="25"/>
      <c r="K8" s="106"/>
      <c r="L8" s="25"/>
      <c r="M8" s="25"/>
    </row>
    <row r="9" spans="1:13" x14ac:dyDescent="0.3">
      <c r="A9" s="53"/>
      <c r="B9" s="54"/>
      <c r="C9" s="54"/>
      <c r="D9" s="54"/>
      <c r="E9" s="54"/>
      <c r="F9" s="19"/>
      <c r="G9" s="7"/>
      <c r="J9" s="25"/>
      <c r="K9" s="106"/>
      <c r="L9" s="25"/>
      <c r="M9" s="25"/>
    </row>
    <row r="10" spans="1:13" x14ac:dyDescent="0.3">
      <c r="A10" s="53"/>
      <c r="B10" s="54"/>
      <c r="C10" s="54"/>
      <c r="D10" s="54"/>
      <c r="E10" s="54"/>
      <c r="F10" s="19"/>
      <c r="G10" s="7"/>
      <c r="J10" s="25"/>
      <c r="K10" s="106"/>
      <c r="L10" s="25"/>
      <c r="M10" s="25"/>
    </row>
    <row r="11" spans="1:13" x14ac:dyDescent="0.3">
      <c r="A11" s="53"/>
      <c r="B11" s="138" t="s">
        <v>123</v>
      </c>
      <c r="C11" s="54"/>
      <c r="D11" s="54"/>
      <c r="E11" s="54"/>
      <c r="F11" s="19"/>
      <c r="G11" s="7"/>
      <c r="J11" s="25"/>
      <c r="K11" s="106"/>
      <c r="L11" s="25"/>
      <c r="M11" s="25"/>
    </row>
    <row r="12" spans="1:13" x14ac:dyDescent="0.3">
      <c r="A12" s="53"/>
      <c r="B12" s="54"/>
      <c r="C12" s="54"/>
      <c r="D12" s="54"/>
      <c r="E12" s="54"/>
      <c r="F12" s="19"/>
      <c r="G12" s="7"/>
      <c r="J12" s="25"/>
      <c r="K12" s="106"/>
      <c r="L12" s="25"/>
      <c r="M12" s="25"/>
    </row>
    <row r="13" spans="1:13" x14ac:dyDescent="0.3">
      <c r="A13" s="139">
        <v>46039</v>
      </c>
      <c r="B13" s="140"/>
      <c r="C13" s="140" t="s">
        <v>107</v>
      </c>
      <c r="D13" s="140" t="s">
        <v>106</v>
      </c>
      <c r="E13" s="140"/>
      <c r="F13" s="81">
        <v>508576</v>
      </c>
      <c r="G13" s="81">
        <v>3334000</v>
      </c>
      <c r="J13" s="25"/>
      <c r="K13" s="106"/>
      <c r="L13" s="25"/>
      <c r="M13" s="25"/>
    </row>
    <row r="14" spans="1:13" x14ac:dyDescent="0.3">
      <c r="A14" s="139">
        <v>46044</v>
      </c>
      <c r="B14" s="140"/>
      <c r="C14" s="140" t="s">
        <v>110</v>
      </c>
      <c r="D14" s="140" t="s">
        <v>11</v>
      </c>
      <c r="E14" s="140"/>
      <c r="F14" s="81">
        <v>62542</v>
      </c>
      <c r="G14" s="81">
        <v>410000</v>
      </c>
      <c r="H14" s="20" t="s">
        <v>72</v>
      </c>
      <c r="I14" s="7">
        <v>6800000</v>
      </c>
      <c r="J14" s="25"/>
      <c r="K14" s="106"/>
      <c r="L14" s="25"/>
      <c r="M14" s="25"/>
    </row>
    <row r="15" spans="1:13" x14ac:dyDescent="0.3">
      <c r="A15" s="139">
        <v>46038</v>
      </c>
      <c r="B15" s="140"/>
      <c r="C15" s="140" t="s">
        <v>110</v>
      </c>
      <c r="D15" s="140" t="s">
        <v>11</v>
      </c>
      <c r="E15" s="140"/>
      <c r="F15" s="81">
        <v>46067</v>
      </c>
      <c r="G15" s="81">
        <v>302000</v>
      </c>
      <c r="I15" s="19">
        <v>6700000</v>
      </c>
      <c r="J15" s="25"/>
      <c r="K15" s="106"/>
      <c r="L15" s="25"/>
      <c r="M15" s="25"/>
    </row>
    <row r="16" spans="1:13" x14ac:dyDescent="0.3">
      <c r="A16" s="139">
        <v>46028</v>
      </c>
      <c r="B16" s="140"/>
      <c r="C16" s="140" t="s">
        <v>102</v>
      </c>
      <c r="D16" s="141" t="s">
        <v>30</v>
      </c>
      <c r="E16" s="141">
        <v>50000</v>
      </c>
      <c r="F16" s="81">
        <v>30508</v>
      </c>
      <c r="G16" s="81">
        <v>200000</v>
      </c>
      <c r="I16" s="7">
        <v>6560000</v>
      </c>
      <c r="J16" s="25"/>
      <c r="K16" s="106"/>
      <c r="L16" s="25"/>
      <c r="M16" s="25"/>
    </row>
    <row r="17" spans="1:13" x14ac:dyDescent="0.3">
      <c r="A17" s="139">
        <v>45670</v>
      </c>
      <c r="B17" s="140"/>
      <c r="C17" s="140" t="s">
        <v>27</v>
      </c>
      <c r="D17" s="140" t="s">
        <v>38</v>
      </c>
      <c r="E17" s="140"/>
      <c r="F17" s="81">
        <v>25916</v>
      </c>
      <c r="G17" s="81">
        <v>200000</v>
      </c>
      <c r="H17" t="s">
        <v>124</v>
      </c>
      <c r="I17" s="81">
        <v>2000000</v>
      </c>
      <c r="J17" s="25"/>
      <c r="K17" s="107"/>
      <c r="L17" s="25"/>
      <c r="M17" s="25"/>
    </row>
    <row r="18" spans="1:13" x14ac:dyDescent="0.3">
      <c r="A18" s="139">
        <v>46032</v>
      </c>
      <c r="B18" s="140"/>
      <c r="C18" s="140" t="s">
        <v>110</v>
      </c>
      <c r="D18" s="140" t="s">
        <v>11</v>
      </c>
      <c r="E18" s="140"/>
      <c r="F18" s="81">
        <v>22729</v>
      </c>
      <c r="G18" s="81">
        <v>149000</v>
      </c>
      <c r="I18" s="81">
        <v>4040000</v>
      </c>
      <c r="J18" s="25"/>
      <c r="K18" s="108"/>
      <c r="L18" s="25"/>
      <c r="M18" s="25"/>
    </row>
    <row r="19" spans="1:13" x14ac:dyDescent="0.3">
      <c r="A19" s="139">
        <v>46041</v>
      </c>
      <c r="B19" s="140"/>
      <c r="C19" s="140" t="s">
        <v>109</v>
      </c>
      <c r="D19" s="140" t="s">
        <v>108</v>
      </c>
      <c r="E19" s="140"/>
      <c r="F19" s="81">
        <v>18305</v>
      </c>
      <c r="G19" s="81">
        <v>120000</v>
      </c>
      <c r="I19" s="81">
        <v>5200000</v>
      </c>
      <c r="J19" s="25"/>
      <c r="K19" s="106"/>
      <c r="L19" s="25"/>
      <c r="M19" s="25"/>
    </row>
    <row r="20" spans="1:13" x14ac:dyDescent="0.3">
      <c r="A20" s="139">
        <v>46027</v>
      </c>
      <c r="B20" s="140"/>
      <c r="C20" s="140" t="s">
        <v>14</v>
      </c>
      <c r="D20" s="140" t="s">
        <v>31</v>
      </c>
      <c r="E20" s="140"/>
      <c r="F20" s="81">
        <v>12600</v>
      </c>
      <c r="G20" s="81">
        <v>82600</v>
      </c>
      <c r="I20" s="81">
        <v>1435000</v>
      </c>
      <c r="J20" s="25"/>
      <c r="K20" s="106"/>
      <c r="L20" s="25"/>
      <c r="M20" s="25"/>
    </row>
    <row r="21" spans="1:13" x14ac:dyDescent="0.3">
      <c r="A21" s="139">
        <v>46050</v>
      </c>
      <c r="B21" s="140"/>
      <c r="C21" s="140" t="s">
        <v>122</v>
      </c>
      <c r="D21" s="140" t="s">
        <v>121</v>
      </c>
      <c r="E21" s="140"/>
      <c r="F21" s="81">
        <v>1220</v>
      </c>
      <c r="G21" s="81">
        <v>8000</v>
      </c>
      <c r="I21" s="144">
        <f>SUM(I14:I20)</f>
        <v>32735000</v>
      </c>
      <c r="J21" s="25"/>
      <c r="K21" s="106"/>
      <c r="L21" s="25"/>
      <c r="M21" s="25"/>
    </row>
    <row r="22" spans="1:13" x14ac:dyDescent="0.3">
      <c r="A22" s="139">
        <v>46042</v>
      </c>
      <c r="B22" s="140"/>
      <c r="C22" s="140" t="s">
        <v>112</v>
      </c>
      <c r="D22" s="140" t="s">
        <v>111</v>
      </c>
      <c r="E22" s="140"/>
      <c r="F22" s="81">
        <v>6102</v>
      </c>
      <c r="G22" s="81">
        <v>40000</v>
      </c>
      <c r="H22" t="s">
        <v>125</v>
      </c>
      <c r="I22" s="8">
        <f>C60</f>
        <v>21984200</v>
      </c>
      <c r="J22" s="25"/>
      <c r="K22" s="106"/>
      <c r="L22" s="25"/>
      <c r="M22" s="25"/>
    </row>
    <row r="23" spans="1:13" x14ac:dyDescent="0.3">
      <c r="A23" s="53">
        <v>46050</v>
      </c>
      <c r="B23" s="54"/>
      <c r="C23" s="54" t="s">
        <v>102</v>
      </c>
      <c r="D23" s="54" t="s">
        <v>30</v>
      </c>
      <c r="E23" s="54"/>
      <c r="F23" s="55">
        <v>3043</v>
      </c>
      <c r="G23" s="7">
        <v>20000</v>
      </c>
      <c r="J23" s="25"/>
      <c r="K23" s="106"/>
      <c r="L23" s="25"/>
      <c r="M23" s="25"/>
    </row>
    <row r="24" spans="1:13" x14ac:dyDescent="0.3">
      <c r="A24" s="139">
        <v>46029</v>
      </c>
      <c r="B24" s="140"/>
      <c r="C24" s="140" t="s">
        <v>104</v>
      </c>
      <c r="D24" s="140" t="s">
        <v>103</v>
      </c>
      <c r="E24" s="140"/>
      <c r="F24" s="81"/>
      <c r="G24" s="81">
        <v>24000</v>
      </c>
      <c r="H24" t="s">
        <v>78</v>
      </c>
      <c r="I24" s="144">
        <f>I21-I22</f>
        <v>10750800</v>
      </c>
      <c r="J24" s="25"/>
      <c r="K24" s="106"/>
      <c r="L24" s="25"/>
      <c r="M24" s="25"/>
    </row>
    <row r="25" spans="1:13" x14ac:dyDescent="0.3">
      <c r="A25" s="139"/>
      <c r="B25" s="140"/>
      <c r="C25" s="140"/>
      <c r="D25" s="140"/>
      <c r="E25" s="140"/>
      <c r="F25" s="81"/>
      <c r="G25" s="81"/>
      <c r="H25" t="s">
        <v>126</v>
      </c>
      <c r="J25" s="25"/>
      <c r="K25" s="106"/>
      <c r="L25" s="25"/>
      <c r="M25" s="25"/>
    </row>
    <row r="26" spans="1:13" x14ac:dyDescent="0.3">
      <c r="A26" s="139"/>
      <c r="B26" s="140"/>
      <c r="C26" s="140"/>
      <c r="D26" s="140"/>
      <c r="E26" s="140"/>
      <c r="F26" s="81"/>
      <c r="G26" s="81"/>
      <c r="J26" s="25"/>
      <c r="K26" s="106"/>
      <c r="L26" s="25"/>
      <c r="M26" s="25"/>
    </row>
    <row r="27" spans="1:13" x14ac:dyDescent="0.3">
      <c r="A27" s="139"/>
      <c r="B27" s="140"/>
      <c r="C27" s="140"/>
      <c r="D27" s="140"/>
      <c r="E27" s="140"/>
      <c r="F27" s="81"/>
      <c r="G27" s="13">
        <f>SUM(G13:G26)</f>
        <v>4889600</v>
      </c>
      <c r="J27" s="25"/>
      <c r="K27" s="106"/>
      <c r="L27" s="25"/>
      <c r="M27" s="25"/>
    </row>
    <row r="28" spans="1:13" x14ac:dyDescent="0.3">
      <c r="A28" s="139">
        <v>46035</v>
      </c>
      <c r="B28" s="140"/>
      <c r="C28" s="140" t="s">
        <v>15</v>
      </c>
      <c r="D28" s="140" t="s">
        <v>16</v>
      </c>
      <c r="E28" s="140"/>
      <c r="F28" s="81">
        <v>11180</v>
      </c>
      <c r="G28" s="81">
        <v>73295</v>
      </c>
      <c r="J28" s="25"/>
      <c r="K28" s="106"/>
      <c r="L28" s="25"/>
      <c r="M28" s="25"/>
    </row>
    <row r="29" spans="1:13" x14ac:dyDescent="0.3">
      <c r="A29" s="139">
        <v>46043</v>
      </c>
      <c r="B29" s="140"/>
      <c r="C29" s="140" t="s">
        <v>15</v>
      </c>
      <c r="D29" s="140" t="s">
        <v>16</v>
      </c>
      <c r="E29" s="140"/>
      <c r="F29" s="81">
        <v>10825</v>
      </c>
      <c r="G29" s="81">
        <v>70968</v>
      </c>
      <c r="J29" s="25"/>
      <c r="K29" s="106"/>
      <c r="L29" s="25"/>
      <c r="M29" s="25"/>
    </row>
    <row r="30" spans="1:13" x14ac:dyDescent="0.3">
      <c r="A30" s="139">
        <v>46027</v>
      </c>
      <c r="B30" s="140">
        <v>103582274</v>
      </c>
      <c r="C30" s="140" t="s">
        <v>15</v>
      </c>
      <c r="D30" s="140" t="s">
        <v>16</v>
      </c>
      <c r="E30" s="140"/>
      <c r="F30" s="81">
        <v>10312</v>
      </c>
      <c r="G30" s="81">
        <v>67606</v>
      </c>
      <c r="J30" s="25"/>
      <c r="K30" s="106"/>
      <c r="L30" s="25"/>
      <c r="M30" s="25"/>
    </row>
    <row r="31" spans="1:13" x14ac:dyDescent="0.3">
      <c r="A31" s="139">
        <v>46032</v>
      </c>
      <c r="B31" s="140"/>
      <c r="C31" s="140" t="s">
        <v>15</v>
      </c>
      <c r="D31" s="140" t="s">
        <v>16</v>
      </c>
      <c r="E31" s="140"/>
      <c r="F31" s="81">
        <v>9867</v>
      </c>
      <c r="G31" s="81">
        <v>64682</v>
      </c>
      <c r="J31" s="25"/>
      <c r="K31" s="106"/>
      <c r="L31" s="25"/>
      <c r="M31" s="25"/>
    </row>
    <row r="32" spans="1:13" x14ac:dyDescent="0.3">
      <c r="A32" s="139">
        <v>46037</v>
      </c>
      <c r="B32" s="140"/>
      <c r="C32" s="140" t="s">
        <v>15</v>
      </c>
      <c r="D32" s="140" t="s">
        <v>16</v>
      </c>
      <c r="E32" s="140"/>
      <c r="F32" s="81">
        <v>9660</v>
      </c>
      <c r="G32" s="81">
        <v>63330</v>
      </c>
      <c r="J32" s="25"/>
      <c r="K32" s="106"/>
      <c r="L32" s="25"/>
      <c r="M32" s="25"/>
    </row>
    <row r="33" spans="1:13" x14ac:dyDescent="0.3">
      <c r="A33" s="139">
        <v>46039</v>
      </c>
      <c r="B33" s="140"/>
      <c r="C33" s="140" t="s">
        <v>15</v>
      </c>
      <c r="D33" s="140" t="s">
        <v>16</v>
      </c>
      <c r="E33" s="140"/>
      <c r="F33" s="81">
        <v>9226</v>
      </c>
      <c r="G33" s="81">
        <v>60485</v>
      </c>
      <c r="J33" s="25"/>
      <c r="K33" s="106"/>
      <c r="L33" s="25"/>
      <c r="M33" s="25"/>
    </row>
    <row r="34" spans="1:13" x14ac:dyDescent="0.3">
      <c r="A34" s="139">
        <v>46049</v>
      </c>
      <c r="B34" s="140"/>
      <c r="C34" s="140" t="s">
        <v>15</v>
      </c>
      <c r="D34" s="140" t="s">
        <v>16</v>
      </c>
      <c r="E34" s="140"/>
      <c r="F34" s="81">
        <v>8428</v>
      </c>
      <c r="G34" s="81">
        <v>55254</v>
      </c>
      <c r="J34" s="25"/>
      <c r="K34" s="106"/>
      <c r="L34" s="25"/>
      <c r="M34" s="25"/>
    </row>
    <row r="35" spans="1:13" x14ac:dyDescent="0.3">
      <c r="A35" s="139">
        <v>46029</v>
      </c>
      <c r="B35" s="142"/>
      <c r="C35" s="140" t="s">
        <v>15</v>
      </c>
      <c r="D35" s="140" t="s">
        <v>16</v>
      </c>
      <c r="E35" s="140"/>
      <c r="F35" s="81">
        <v>8049</v>
      </c>
      <c r="G35" s="143">
        <v>52768</v>
      </c>
      <c r="J35" s="25"/>
      <c r="K35" s="106"/>
      <c r="L35" s="25"/>
      <c r="M35" s="25"/>
    </row>
    <row r="36" spans="1:13" x14ac:dyDescent="0.3">
      <c r="A36" s="139">
        <v>46028</v>
      </c>
      <c r="B36" s="140"/>
      <c r="C36" s="140" t="s">
        <v>15</v>
      </c>
      <c r="D36" s="140" t="s">
        <v>16</v>
      </c>
      <c r="E36" s="140"/>
      <c r="F36" s="81">
        <v>7958</v>
      </c>
      <c r="G36" s="81">
        <v>52171</v>
      </c>
      <c r="J36" s="25"/>
      <c r="K36" s="106"/>
      <c r="L36" s="25"/>
      <c r="M36" s="25"/>
    </row>
    <row r="37" spans="1:13" x14ac:dyDescent="0.3">
      <c r="A37" s="139">
        <v>46030</v>
      </c>
      <c r="B37" s="140"/>
      <c r="C37" s="140" t="s">
        <v>15</v>
      </c>
      <c r="D37" s="140" t="s">
        <v>16</v>
      </c>
      <c r="E37" s="140"/>
      <c r="F37" s="81">
        <v>7833</v>
      </c>
      <c r="G37" s="81">
        <v>51356</v>
      </c>
      <c r="J37" s="25"/>
      <c r="K37" s="106"/>
      <c r="L37" s="25"/>
      <c r="M37" s="25"/>
    </row>
    <row r="38" spans="1:13" x14ac:dyDescent="0.3">
      <c r="A38" s="139">
        <v>46034</v>
      </c>
      <c r="B38" s="140"/>
      <c r="C38" s="140" t="s">
        <v>15</v>
      </c>
      <c r="D38" s="140" t="s">
        <v>16</v>
      </c>
      <c r="E38" s="140"/>
      <c r="F38" s="81">
        <v>6899</v>
      </c>
      <c r="G38" s="81">
        <v>45230</v>
      </c>
      <c r="J38" s="25"/>
      <c r="K38" s="106"/>
      <c r="L38" s="25"/>
      <c r="M38" s="25"/>
    </row>
    <row r="39" spans="1:13" x14ac:dyDescent="0.3">
      <c r="A39" s="139">
        <v>46051</v>
      </c>
      <c r="B39" s="140"/>
      <c r="C39" s="140" t="s">
        <v>15</v>
      </c>
      <c r="D39" s="140" t="s">
        <v>16</v>
      </c>
      <c r="E39" s="140"/>
      <c r="F39" s="81">
        <v>6884</v>
      </c>
      <c r="G39" s="81">
        <v>45130</v>
      </c>
      <c r="J39" s="25"/>
      <c r="K39" s="106"/>
      <c r="L39" s="25"/>
      <c r="M39" s="25"/>
    </row>
    <row r="40" spans="1:13" x14ac:dyDescent="0.3">
      <c r="A40" s="139">
        <v>46025</v>
      </c>
      <c r="B40" s="140">
        <v>103582274</v>
      </c>
      <c r="C40" s="140" t="s">
        <v>15</v>
      </c>
      <c r="D40" s="140" t="s">
        <v>16</v>
      </c>
      <c r="E40" s="140"/>
      <c r="F40" s="81">
        <v>6762</v>
      </c>
      <c r="G40" s="81">
        <v>44335</v>
      </c>
      <c r="J40" s="25"/>
      <c r="K40" s="106"/>
      <c r="L40" s="25"/>
      <c r="M40" s="25"/>
    </row>
    <row r="41" spans="1:13" x14ac:dyDescent="0.3">
      <c r="A41" s="139">
        <v>46039</v>
      </c>
      <c r="B41" s="140"/>
      <c r="C41" s="140" t="s">
        <v>15</v>
      </c>
      <c r="D41" s="140" t="s">
        <v>16</v>
      </c>
      <c r="E41" s="140"/>
      <c r="F41" s="81">
        <v>6733</v>
      </c>
      <c r="G41" s="81">
        <v>44136</v>
      </c>
      <c r="J41" s="25"/>
      <c r="K41" s="106"/>
      <c r="L41" s="25"/>
      <c r="M41" s="25"/>
    </row>
    <row r="42" spans="1:13" x14ac:dyDescent="0.3">
      <c r="A42" s="139">
        <v>46024</v>
      </c>
      <c r="B42" s="140">
        <v>103582274</v>
      </c>
      <c r="C42" s="140" t="s">
        <v>15</v>
      </c>
      <c r="D42" s="140" t="s">
        <v>16</v>
      </c>
      <c r="E42" s="140"/>
      <c r="F42" s="81">
        <v>6374</v>
      </c>
      <c r="G42" s="81">
        <v>41769</v>
      </c>
      <c r="J42" s="25"/>
      <c r="K42" s="106"/>
      <c r="L42" s="25"/>
      <c r="M42" s="25"/>
    </row>
    <row r="43" spans="1:13" x14ac:dyDescent="0.3">
      <c r="A43" s="139">
        <v>46031</v>
      </c>
      <c r="B43" s="140"/>
      <c r="C43" s="140" t="s">
        <v>15</v>
      </c>
      <c r="D43" s="140" t="s">
        <v>16</v>
      </c>
      <c r="E43" s="140"/>
      <c r="F43" s="81">
        <v>5252</v>
      </c>
      <c r="G43" s="81">
        <v>34430</v>
      </c>
      <c r="J43" s="25"/>
      <c r="K43" s="106"/>
      <c r="L43" s="25"/>
      <c r="M43" s="25"/>
    </row>
    <row r="44" spans="1:13" x14ac:dyDescent="0.3">
      <c r="A44" s="139">
        <v>46037</v>
      </c>
      <c r="B44" s="140"/>
      <c r="C44" s="140" t="s">
        <v>15</v>
      </c>
      <c r="D44" s="140" t="s">
        <v>16</v>
      </c>
      <c r="E44" s="140"/>
      <c r="F44" s="81">
        <v>4575</v>
      </c>
      <c r="G44" s="81">
        <v>30000</v>
      </c>
      <c r="J44" s="25"/>
      <c r="K44" s="106"/>
      <c r="L44" s="25"/>
      <c r="M44" s="25"/>
    </row>
    <row r="45" spans="1:13" x14ac:dyDescent="0.3">
      <c r="A45" s="139">
        <v>46050</v>
      </c>
      <c r="B45" s="140"/>
      <c r="C45" s="140" t="s">
        <v>15</v>
      </c>
      <c r="D45" s="140" t="s">
        <v>16</v>
      </c>
      <c r="E45" s="140"/>
      <c r="F45" s="81">
        <v>4554</v>
      </c>
      <c r="G45" s="81">
        <v>29855</v>
      </c>
      <c r="J45" s="25"/>
      <c r="K45" s="106"/>
      <c r="L45" s="25"/>
      <c r="M45" s="25"/>
    </row>
    <row r="46" spans="1:13" x14ac:dyDescent="0.3">
      <c r="A46" s="139">
        <v>46050</v>
      </c>
      <c r="B46" s="140"/>
      <c r="C46" s="140" t="s">
        <v>15</v>
      </c>
      <c r="D46" s="140" t="s">
        <v>16</v>
      </c>
      <c r="E46" s="140"/>
      <c r="F46" s="81">
        <v>4554</v>
      </c>
      <c r="G46" s="81">
        <v>29855</v>
      </c>
      <c r="J46" s="25"/>
      <c r="K46" s="106"/>
      <c r="L46" s="25"/>
      <c r="M46" s="25"/>
    </row>
    <row r="47" spans="1:13" x14ac:dyDescent="0.3">
      <c r="A47" s="139">
        <v>46034</v>
      </c>
      <c r="B47" s="140"/>
      <c r="C47" s="140" t="s">
        <v>15</v>
      </c>
      <c r="D47" s="140" t="s">
        <v>16</v>
      </c>
      <c r="E47" s="140"/>
      <c r="F47" s="81">
        <v>3052</v>
      </c>
      <c r="G47" s="81">
        <v>20000</v>
      </c>
      <c r="J47" s="25"/>
      <c r="K47" s="106"/>
      <c r="L47" s="25"/>
      <c r="M47" s="25"/>
    </row>
    <row r="48" spans="1:13" x14ac:dyDescent="0.3">
      <c r="A48" s="139">
        <v>46040</v>
      </c>
      <c r="B48" s="140"/>
      <c r="C48" s="140" t="s">
        <v>15</v>
      </c>
      <c r="D48" s="140" t="s">
        <v>16</v>
      </c>
      <c r="E48" s="140"/>
      <c r="F48" s="81">
        <v>2833</v>
      </c>
      <c r="G48" s="81">
        <v>18577</v>
      </c>
      <c r="J48" s="25"/>
      <c r="K48" s="106"/>
      <c r="L48" s="25"/>
      <c r="M48" s="25"/>
    </row>
    <row r="49" spans="1:17" x14ac:dyDescent="0.3">
      <c r="A49" s="139">
        <v>46036</v>
      </c>
      <c r="B49" s="140"/>
      <c r="C49" s="140" t="s">
        <v>15</v>
      </c>
      <c r="D49" s="140" t="s">
        <v>16</v>
      </c>
      <c r="E49" s="140"/>
      <c r="F49" s="81">
        <v>1526</v>
      </c>
      <c r="G49" s="81">
        <v>10000</v>
      </c>
      <c r="J49" s="25"/>
      <c r="K49" s="106"/>
      <c r="L49" s="25"/>
      <c r="M49" s="25"/>
    </row>
    <row r="50" spans="1:17" x14ac:dyDescent="0.3">
      <c r="G50" s="34">
        <f>SUM(G28:G49)</f>
        <v>1005232</v>
      </c>
      <c r="J50" s="25"/>
      <c r="K50" s="106"/>
      <c r="L50" s="25"/>
      <c r="M50" s="25"/>
    </row>
    <row r="51" spans="1:17" ht="15.6" x14ac:dyDescent="0.3">
      <c r="A51" s="139">
        <v>46030</v>
      </c>
      <c r="B51" s="140"/>
      <c r="C51" s="140" t="s">
        <v>105</v>
      </c>
      <c r="D51" s="140" t="s">
        <v>8</v>
      </c>
      <c r="E51" s="140"/>
      <c r="F51" s="81"/>
      <c r="G51" s="81">
        <v>4040000</v>
      </c>
      <c r="J51" s="25"/>
      <c r="K51" s="106"/>
      <c r="L51" s="25"/>
      <c r="M51" s="25"/>
      <c r="O51" s="114"/>
      <c r="P51" s="114"/>
      <c r="Q51" s="115"/>
    </row>
    <row r="52" spans="1:17" ht="15.6" x14ac:dyDescent="0.3">
      <c r="A52" s="139">
        <v>46043</v>
      </c>
      <c r="B52" s="140"/>
      <c r="C52" s="140" t="s">
        <v>105</v>
      </c>
      <c r="D52" s="140" t="s">
        <v>113</v>
      </c>
      <c r="E52" s="140"/>
      <c r="F52" s="81"/>
      <c r="G52" s="81">
        <v>5200000</v>
      </c>
      <c r="J52" s="25"/>
      <c r="K52" s="109"/>
      <c r="L52" s="25"/>
      <c r="M52" s="25"/>
      <c r="O52" s="114"/>
      <c r="P52" s="114"/>
      <c r="Q52" s="115"/>
    </row>
    <row r="53" spans="1:17" ht="15.6" x14ac:dyDescent="0.3">
      <c r="A53" s="139">
        <v>46043</v>
      </c>
      <c r="B53" s="140"/>
      <c r="C53" s="140" t="s">
        <v>84</v>
      </c>
      <c r="D53" s="140" t="s">
        <v>8</v>
      </c>
      <c r="E53" s="140"/>
      <c r="F53" s="81"/>
      <c r="G53" s="81">
        <v>1435000</v>
      </c>
      <c r="J53" s="25"/>
      <c r="K53" s="110"/>
      <c r="L53" s="25"/>
      <c r="M53" s="25"/>
      <c r="O53" s="114"/>
      <c r="P53" s="114"/>
      <c r="Q53" s="115"/>
    </row>
    <row r="54" spans="1:17" ht="15.6" x14ac:dyDescent="0.3">
      <c r="A54" s="139">
        <v>46029</v>
      </c>
      <c r="B54" s="140"/>
      <c r="C54" s="140" t="s">
        <v>82</v>
      </c>
      <c r="D54" s="140" t="s">
        <v>8</v>
      </c>
      <c r="E54" s="140"/>
      <c r="F54" s="81"/>
      <c r="G54" s="81">
        <v>2000000</v>
      </c>
      <c r="J54" s="25"/>
      <c r="K54" s="106"/>
      <c r="L54" s="25"/>
      <c r="M54" s="25"/>
      <c r="O54" s="114"/>
      <c r="P54" s="114"/>
      <c r="Q54" s="115"/>
    </row>
    <row r="55" spans="1:17" ht="15.6" x14ac:dyDescent="0.3">
      <c r="A55" s="30"/>
      <c r="B55" s="1"/>
      <c r="C55" s="1"/>
      <c r="D55" s="1"/>
      <c r="E55" s="1"/>
      <c r="F55" s="7"/>
      <c r="G55" s="13">
        <f>SUM(G51:G54)</f>
        <v>12675000</v>
      </c>
      <c r="J55" s="25"/>
      <c r="K55" s="111"/>
      <c r="L55" s="25"/>
      <c r="M55" s="25"/>
      <c r="O55" s="114"/>
      <c r="P55" s="114"/>
      <c r="Q55" s="115"/>
    </row>
    <row r="56" spans="1:17" ht="15.6" x14ac:dyDescent="0.3">
      <c r="A56" s="36" t="s">
        <v>24</v>
      </c>
      <c r="B56" s="37"/>
      <c r="C56" s="37"/>
      <c r="D56" s="37"/>
      <c r="E56" s="37"/>
      <c r="F56" s="19">
        <f>F8</f>
        <v>3350107</v>
      </c>
      <c r="G56" s="19">
        <f>G8+G27+G50+G55</f>
        <v>40533531</v>
      </c>
      <c r="J56" s="25"/>
      <c r="K56" s="106"/>
      <c r="L56" s="25"/>
      <c r="M56" s="25"/>
      <c r="O56" s="114"/>
      <c r="P56" s="114"/>
      <c r="Q56" s="115"/>
    </row>
    <row r="57" spans="1:17" ht="15.6" x14ac:dyDescent="0.3">
      <c r="A57" s="116"/>
      <c r="B57" s="118"/>
      <c r="C57" s="118"/>
      <c r="D57" s="118"/>
      <c r="E57" s="118"/>
      <c r="G57" s="17"/>
      <c r="J57" s="25"/>
      <c r="K57" s="112"/>
      <c r="L57" s="25"/>
      <c r="M57" s="25"/>
      <c r="O57" s="114"/>
      <c r="P57" s="114"/>
      <c r="Q57" s="115"/>
    </row>
    <row r="58" spans="1:17" ht="15.6" x14ac:dyDescent="0.3">
      <c r="A58" s="30"/>
      <c r="B58" s="120" t="s">
        <v>18</v>
      </c>
      <c r="C58" s="120"/>
      <c r="D58" s="121">
        <v>20820100</v>
      </c>
      <c r="E58" s="122">
        <f>D58*18/118</f>
        <v>3175947.4576271186</v>
      </c>
      <c r="F58" s="103"/>
      <c r="G58" s="103"/>
      <c r="I58" s="20"/>
      <c r="J58" s="25"/>
      <c r="K58" s="108"/>
      <c r="L58" s="25"/>
      <c r="M58" s="25"/>
      <c r="O58" s="114"/>
      <c r="P58" s="114"/>
      <c r="Q58" s="115"/>
    </row>
    <row r="59" spans="1:17" ht="15.6" x14ac:dyDescent="0.3">
      <c r="A59" s="30"/>
      <c r="B59" s="120" t="s">
        <v>19</v>
      </c>
      <c r="C59" s="120"/>
      <c r="D59" s="121">
        <v>1164100</v>
      </c>
      <c r="E59" s="122">
        <f>D59*18/118</f>
        <v>177574.57627118644</v>
      </c>
      <c r="F59" s="103"/>
      <c r="G59" s="103"/>
      <c r="H59" s="160">
        <v>24675</v>
      </c>
      <c r="J59" s="25"/>
      <c r="K59" s="105"/>
      <c r="L59" s="25"/>
      <c r="M59" s="25"/>
      <c r="O59" s="114"/>
      <c r="P59" s="114"/>
      <c r="Q59" s="115"/>
    </row>
    <row r="60" spans="1:17" ht="15.6" x14ac:dyDescent="0.3">
      <c r="A60" s="30"/>
      <c r="B60" s="120"/>
      <c r="C60" s="121">
        <f>D58+D59</f>
        <v>21984200</v>
      </c>
      <c r="D60" s="120"/>
      <c r="E60" s="122">
        <f>D60*18/118</f>
        <v>0</v>
      </c>
      <c r="F60" s="103"/>
      <c r="G60" s="103"/>
      <c r="H60" s="161" t="s">
        <v>92</v>
      </c>
      <c r="J60" s="25"/>
      <c r="K60" s="105"/>
      <c r="L60" s="25"/>
      <c r="M60" s="25"/>
      <c r="O60" s="114"/>
      <c r="P60" s="114"/>
      <c r="Q60" s="115"/>
    </row>
    <row r="61" spans="1:17" ht="15.6" x14ac:dyDescent="0.3">
      <c r="A61" s="117"/>
      <c r="B61" s="119" t="s">
        <v>20</v>
      </c>
      <c r="C61" s="119"/>
      <c r="D61" s="119"/>
      <c r="E61" s="119" t="s">
        <v>39</v>
      </c>
      <c r="F61" s="104" t="s">
        <v>40</v>
      </c>
      <c r="G61" s="104" t="s">
        <v>21</v>
      </c>
      <c r="J61" s="25"/>
      <c r="K61" s="105"/>
      <c r="L61" s="25"/>
      <c r="M61" s="25"/>
      <c r="O61" s="114"/>
      <c r="P61" s="114"/>
      <c r="Q61" s="115"/>
    </row>
    <row r="62" spans="1:17" ht="15.6" x14ac:dyDescent="0.3">
      <c r="A62" s="53"/>
      <c r="B62" s="102"/>
      <c r="C62" s="101"/>
      <c r="D62" s="102"/>
      <c r="E62" s="102"/>
      <c r="F62" s="103"/>
      <c r="G62" s="103"/>
      <c r="H62" s="56"/>
      <c r="J62" s="25"/>
      <c r="K62" s="105"/>
      <c r="L62" s="25"/>
      <c r="M62" s="25"/>
      <c r="O62" s="114"/>
      <c r="P62" s="114"/>
      <c r="Q62" s="115"/>
    </row>
    <row r="63" spans="1:17" ht="15.6" x14ac:dyDescent="0.3">
      <c r="A63" s="30"/>
      <c r="B63" s="102" t="s">
        <v>22</v>
      </c>
      <c r="C63" s="102"/>
      <c r="D63" s="102"/>
      <c r="E63" s="103">
        <v>3172286</v>
      </c>
      <c r="F63" s="103"/>
      <c r="G63" s="103"/>
      <c r="H63" s="56"/>
      <c r="J63" s="25"/>
      <c r="K63" s="106"/>
      <c r="L63" s="25"/>
      <c r="M63" s="25"/>
      <c r="O63" s="114"/>
      <c r="P63" s="114"/>
      <c r="Q63" s="115"/>
    </row>
    <row r="64" spans="1:17" ht="15.6" x14ac:dyDescent="0.3">
      <c r="A64" s="30"/>
      <c r="B64" s="102" t="s">
        <v>23</v>
      </c>
      <c r="C64" s="102"/>
      <c r="D64" s="102"/>
      <c r="E64" s="103">
        <v>202728</v>
      </c>
      <c r="F64" s="103"/>
      <c r="G64" s="103"/>
      <c r="H64" s="56"/>
      <c r="J64" s="25"/>
      <c r="K64" s="106"/>
      <c r="L64" s="25"/>
      <c r="M64" s="25"/>
      <c r="O64" s="114"/>
      <c r="P64" s="114"/>
      <c r="Q64" s="115"/>
    </row>
    <row r="65" spans="1:19" ht="15.6" x14ac:dyDescent="0.3">
      <c r="A65" s="30"/>
      <c r="B65" s="102"/>
      <c r="C65" s="102"/>
      <c r="D65" s="102"/>
      <c r="E65" s="103"/>
      <c r="F65" s="103"/>
      <c r="G65" s="103"/>
      <c r="J65" s="25"/>
      <c r="K65" s="108"/>
      <c r="L65" s="25"/>
      <c r="M65" s="25"/>
      <c r="O65" s="114"/>
      <c r="P65" s="114"/>
      <c r="Q65" s="115"/>
    </row>
    <row r="66" spans="1:19" ht="15.6" x14ac:dyDescent="0.3">
      <c r="A66" s="30"/>
      <c r="B66" s="102" t="s">
        <v>24</v>
      </c>
      <c r="C66" s="102"/>
      <c r="D66" s="102"/>
      <c r="E66" s="103">
        <f>SUM(E63:E65)</f>
        <v>3375014</v>
      </c>
      <c r="F66" s="103">
        <f>F56</f>
        <v>3350107</v>
      </c>
      <c r="G66" s="123">
        <f>E66-F66</f>
        <v>24907</v>
      </c>
      <c r="H66" t="s">
        <v>21</v>
      </c>
      <c r="J66" s="25"/>
      <c r="K66" s="109"/>
      <c r="L66" s="25"/>
      <c r="M66" s="25"/>
      <c r="O66" s="114"/>
      <c r="P66" s="114"/>
      <c r="Q66" s="115"/>
    </row>
    <row r="67" spans="1:19" ht="15.6" x14ac:dyDescent="0.3">
      <c r="A67" s="30"/>
      <c r="B67" s="102"/>
      <c r="C67" s="102"/>
      <c r="D67" s="102"/>
      <c r="E67" s="103"/>
      <c r="F67" s="103"/>
      <c r="G67" s="147" t="s">
        <v>134</v>
      </c>
      <c r="J67" s="25"/>
      <c r="K67" s="109"/>
      <c r="L67" s="25"/>
      <c r="M67" s="25"/>
      <c r="O67" s="114"/>
      <c r="P67" s="114"/>
      <c r="Q67" s="115"/>
    </row>
    <row r="68" spans="1:19" ht="15.6" x14ac:dyDescent="0.3">
      <c r="A68" s="116"/>
      <c r="B68" s="129" t="s">
        <v>25</v>
      </c>
      <c r="C68" s="129"/>
      <c r="D68" s="129"/>
      <c r="E68" s="130">
        <f>G66*118/18</f>
        <v>163279.22222222222</v>
      </c>
      <c r="F68" s="130" t="s">
        <v>29</v>
      </c>
      <c r="G68" s="130"/>
      <c r="H68" t="s">
        <v>72</v>
      </c>
      <c r="I68" s="8">
        <v>6700000</v>
      </c>
      <c r="J68" s="25"/>
      <c r="K68" s="109"/>
      <c r="L68" s="25"/>
      <c r="M68" s="25"/>
      <c r="O68" s="114"/>
      <c r="P68" s="114"/>
      <c r="Q68" s="115"/>
    </row>
    <row r="69" spans="1:19" ht="15.6" x14ac:dyDescent="0.3">
      <c r="A69" s="134"/>
      <c r="B69" s="135"/>
      <c r="C69" s="135"/>
      <c r="D69" s="135"/>
      <c r="E69" s="135"/>
      <c r="F69" s="136"/>
      <c r="G69" s="136"/>
      <c r="I69" s="8">
        <v>6500000</v>
      </c>
      <c r="J69" s="25"/>
      <c r="K69" s="109"/>
      <c r="L69" s="25"/>
      <c r="M69" s="25"/>
      <c r="O69" s="114"/>
      <c r="P69" s="114"/>
      <c r="Q69" s="115"/>
    </row>
    <row r="70" spans="1:19" ht="15.6" x14ac:dyDescent="0.3">
      <c r="A70" s="131"/>
      <c r="B70" s="132"/>
      <c r="C70" s="132"/>
      <c r="D70" s="132"/>
      <c r="E70" s="132"/>
      <c r="F70" s="133"/>
      <c r="G70" s="133"/>
      <c r="I70" s="8">
        <v>3000000</v>
      </c>
      <c r="J70" s="25"/>
      <c r="K70" s="109"/>
      <c r="L70" s="25"/>
      <c r="M70" s="25"/>
      <c r="O70" s="114"/>
      <c r="P70" s="114"/>
      <c r="Q70" s="115"/>
    </row>
    <row r="71" spans="1:19" ht="15.6" x14ac:dyDescent="0.3">
      <c r="A71" s="131"/>
      <c r="B71" s="132"/>
      <c r="C71" s="132"/>
      <c r="D71" s="132"/>
      <c r="E71" s="132"/>
      <c r="F71" s="133"/>
      <c r="G71" s="133"/>
      <c r="H71" t="s">
        <v>124</v>
      </c>
      <c r="I71" s="8">
        <v>4650000</v>
      </c>
      <c r="J71" s="25"/>
      <c r="K71" s="108"/>
      <c r="L71" s="25"/>
      <c r="M71" s="25"/>
      <c r="O71" s="114"/>
      <c r="P71" s="114"/>
      <c r="Q71" s="115"/>
    </row>
    <row r="72" spans="1:19" ht="15.6" x14ac:dyDescent="0.3">
      <c r="A72" s="95"/>
      <c r="B72" s="66" t="s">
        <v>127</v>
      </c>
      <c r="C72" s="25"/>
      <c r="D72" s="25"/>
      <c r="E72" s="25"/>
      <c r="F72" s="38"/>
      <c r="G72" s="35"/>
      <c r="I72" s="8">
        <v>4850000</v>
      </c>
      <c r="J72" s="25"/>
      <c r="K72" s="109"/>
      <c r="L72" s="25"/>
      <c r="M72" s="25"/>
      <c r="O72" s="114"/>
      <c r="P72" s="114"/>
      <c r="Q72" s="115"/>
    </row>
    <row r="73" spans="1:19" ht="15.6" x14ac:dyDescent="0.3">
      <c r="A73" s="95"/>
      <c r="B73" s="1"/>
      <c r="C73" s="1"/>
      <c r="D73" s="1"/>
      <c r="E73" s="1"/>
      <c r="F73" s="7"/>
      <c r="G73" s="7"/>
      <c r="I73" s="8">
        <v>757000</v>
      </c>
      <c r="J73" s="25"/>
      <c r="K73" s="25"/>
      <c r="L73" s="25"/>
      <c r="M73" s="25"/>
      <c r="O73" s="114"/>
      <c r="P73" s="114"/>
      <c r="Q73" s="115"/>
    </row>
    <row r="74" spans="1:19" ht="15.6" x14ac:dyDescent="0.3">
      <c r="A74" s="95"/>
      <c r="B74" s="5">
        <v>46063</v>
      </c>
      <c r="C74" s="1" t="s">
        <v>10</v>
      </c>
      <c r="D74" s="22" t="s">
        <v>9</v>
      </c>
      <c r="E74" s="22"/>
      <c r="F74" s="17">
        <v>1022034</v>
      </c>
      <c r="G74" s="7">
        <v>6700000</v>
      </c>
      <c r="I74" s="8">
        <v>757000</v>
      </c>
      <c r="J74" s="25"/>
      <c r="K74" s="25"/>
      <c r="L74" s="25"/>
      <c r="M74" s="25"/>
      <c r="O74" s="114"/>
      <c r="P74" s="114"/>
      <c r="Q74" s="115"/>
    </row>
    <row r="75" spans="1:19" ht="15.6" x14ac:dyDescent="0.3">
      <c r="A75" s="95"/>
      <c r="B75" s="30">
        <v>46072</v>
      </c>
      <c r="C75" s="21" t="s">
        <v>10</v>
      </c>
      <c r="D75" s="21" t="s">
        <v>9</v>
      </c>
      <c r="E75" s="1"/>
      <c r="F75" s="17">
        <v>991525</v>
      </c>
      <c r="G75" s="7">
        <v>6500000</v>
      </c>
      <c r="I75" s="8">
        <v>529300</v>
      </c>
      <c r="J75" s="25"/>
      <c r="K75" s="25"/>
      <c r="L75" s="25"/>
      <c r="M75" s="25"/>
      <c r="O75" s="114"/>
      <c r="P75" s="114"/>
      <c r="Q75" s="115"/>
    </row>
    <row r="76" spans="1:19" ht="15.6" x14ac:dyDescent="0.3">
      <c r="A76" s="95"/>
      <c r="B76" s="36">
        <v>46076</v>
      </c>
      <c r="C76" s="37" t="s">
        <v>10</v>
      </c>
      <c r="D76" s="37" t="s">
        <v>9</v>
      </c>
      <c r="E76" s="37"/>
      <c r="F76" s="19">
        <v>457627</v>
      </c>
      <c r="G76" s="19">
        <v>3000000</v>
      </c>
      <c r="H76" t="s">
        <v>24</v>
      </c>
      <c r="I76" s="8">
        <f>SUM(I68:I75)</f>
        <v>27743300</v>
      </c>
      <c r="O76" s="114"/>
      <c r="P76" s="114"/>
      <c r="Q76" s="115"/>
    </row>
    <row r="77" spans="1:19" ht="15.6" x14ac:dyDescent="0.3">
      <c r="A77" s="95"/>
      <c r="B77" s="5">
        <v>46057</v>
      </c>
      <c r="C77" s="1" t="s">
        <v>119</v>
      </c>
      <c r="D77" s="22" t="s">
        <v>26</v>
      </c>
      <c r="E77" s="22"/>
      <c r="F77" s="7">
        <v>297986</v>
      </c>
      <c r="G77" s="7">
        <v>1953464</v>
      </c>
      <c r="H77" t="s">
        <v>125</v>
      </c>
      <c r="I77" s="23">
        <f>C121</f>
        <v>21457750</v>
      </c>
      <c r="O77" s="114"/>
      <c r="P77" s="114"/>
      <c r="Q77" s="115"/>
    </row>
    <row r="78" spans="1:19" ht="15.6" x14ac:dyDescent="0.3">
      <c r="A78" s="95"/>
      <c r="B78" s="30">
        <v>46071</v>
      </c>
      <c r="C78" s="21" t="s">
        <v>107</v>
      </c>
      <c r="D78" s="21" t="s">
        <v>135</v>
      </c>
      <c r="E78" s="1"/>
      <c r="F78" s="17">
        <v>78864</v>
      </c>
      <c r="G78" s="7">
        <v>517000</v>
      </c>
      <c r="H78" t="s">
        <v>129</v>
      </c>
      <c r="I78" s="146">
        <f>I77-I76</f>
        <v>-6285550</v>
      </c>
      <c r="O78" s="114"/>
      <c r="P78" s="114"/>
      <c r="Q78" s="115"/>
    </row>
    <row r="79" spans="1:19" ht="15.6" x14ac:dyDescent="0.3">
      <c r="A79" s="27"/>
      <c r="B79" s="5">
        <v>46069</v>
      </c>
      <c r="C79" s="21" t="s">
        <v>133</v>
      </c>
      <c r="D79" s="21" t="s">
        <v>11</v>
      </c>
      <c r="E79" s="1"/>
      <c r="F79" s="17">
        <v>63549</v>
      </c>
      <c r="G79" s="7">
        <v>416000</v>
      </c>
      <c r="O79" s="114"/>
      <c r="P79" s="114"/>
      <c r="Q79" s="115"/>
      <c r="S79" s="20"/>
    </row>
    <row r="80" spans="1:19" ht="15.6" x14ac:dyDescent="0.3">
      <c r="A80" s="95"/>
      <c r="B80" s="5">
        <v>46081</v>
      </c>
      <c r="C80" s="21" t="s">
        <v>102</v>
      </c>
      <c r="D80" s="21" t="s">
        <v>30</v>
      </c>
      <c r="E80" s="1"/>
      <c r="F80" s="19">
        <v>45763</v>
      </c>
      <c r="G80" s="19">
        <v>300000</v>
      </c>
      <c r="O80" s="114"/>
      <c r="P80" s="114"/>
      <c r="Q80" s="115"/>
    </row>
    <row r="81" spans="1:17" ht="15.6" x14ac:dyDescent="0.3">
      <c r="A81" s="95"/>
      <c r="B81" s="30">
        <v>46081</v>
      </c>
      <c r="C81" s="21" t="s">
        <v>102</v>
      </c>
      <c r="D81" s="21" t="s">
        <v>30</v>
      </c>
      <c r="E81" s="1"/>
      <c r="F81" s="17">
        <v>22881</v>
      </c>
      <c r="G81" s="7">
        <v>150000</v>
      </c>
      <c r="O81" s="114"/>
      <c r="P81" s="114"/>
      <c r="Q81" s="115"/>
    </row>
    <row r="82" spans="1:17" ht="15.6" x14ac:dyDescent="0.3">
      <c r="A82" s="95"/>
      <c r="B82" s="5">
        <v>46079</v>
      </c>
      <c r="C82" s="21" t="s">
        <v>14</v>
      </c>
      <c r="D82" s="21" t="s">
        <v>135</v>
      </c>
      <c r="E82" s="1"/>
      <c r="F82" s="17">
        <v>18991</v>
      </c>
      <c r="G82" s="7">
        <v>124500</v>
      </c>
      <c r="O82" s="114"/>
      <c r="P82" s="114"/>
      <c r="Q82" s="115"/>
    </row>
    <row r="83" spans="1:17" ht="15.6" x14ac:dyDescent="0.3">
      <c r="A83" s="27"/>
      <c r="B83" s="5">
        <v>46062</v>
      </c>
      <c r="C83" s="1" t="s">
        <v>15</v>
      </c>
      <c r="D83" s="22" t="s">
        <v>16</v>
      </c>
      <c r="E83" s="22"/>
      <c r="F83" s="7">
        <v>13732</v>
      </c>
      <c r="G83" s="7">
        <v>90022</v>
      </c>
      <c r="O83" s="114"/>
      <c r="P83" s="114"/>
      <c r="Q83" s="115"/>
    </row>
    <row r="84" spans="1:17" ht="15.6" x14ac:dyDescent="0.3">
      <c r="A84" s="95"/>
      <c r="B84" s="30">
        <v>46072</v>
      </c>
      <c r="C84" s="21" t="s">
        <v>61</v>
      </c>
      <c r="D84" s="21" t="s">
        <v>62</v>
      </c>
      <c r="E84" s="1"/>
      <c r="F84" s="17">
        <v>13119</v>
      </c>
      <c r="G84" s="7">
        <v>86000</v>
      </c>
      <c r="O84" s="114"/>
      <c r="P84" s="114"/>
      <c r="Q84" s="115"/>
    </row>
    <row r="85" spans="1:17" ht="15.6" x14ac:dyDescent="0.3">
      <c r="A85" s="95"/>
      <c r="B85" s="5">
        <v>46074</v>
      </c>
      <c r="C85" s="21" t="s">
        <v>15</v>
      </c>
      <c r="D85" s="21" t="s">
        <v>16</v>
      </c>
      <c r="E85" s="1"/>
      <c r="F85" s="17">
        <v>12967</v>
      </c>
      <c r="G85" s="7">
        <v>85010</v>
      </c>
      <c r="O85" s="114"/>
      <c r="P85" s="114"/>
      <c r="Q85" s="115"/>
    </row>
    <row r="86" spans="1:17" ht="15.6" x14ac:dyDescent="0.3">
      <c r="A86" s="95"/>
      <c r="B86" s="5">
        <v>46065</v>
      </c>
      <c r="C86" s="1" t="s">
        <v>15</v>
      </c>
      <c r="D86" s="1" t="s">
        <v>16</v>
      </c>
      <c r="E86" s="1"/>
      <c r="F86" s="17">
        <v>10989</v>
      </c>
      <c r="G86" s="7">
        <v>72042</v>
      </c>
      <c r="O86" s="114"/>
      <c r="P86" s="114"/>
      <c r="Q86" s="115"/>
    </row>
    <row r="87" spans="1:17" ht="15.6" x14ac:dyDescent="0.3">
      <c r="A87" s="78"/>
      <c r="B87" s="30">
        <v>46069</v>
      </c>
      <c r="C87" s="1" t="s">
        <v>15</v>
      </c>
      <c r="D87" s="1" t="s">
        <v>16</v>
      </c>
      <c r="E87" s="1"/>
      <c r="F87" s="17">
        <v>10255</v>
      </c>
      <c r="G87" s="55">
        <v>67228</v>
      </c>
      <c r="O87" s="114"/>
      <c r="P87" s="114"/>
      <c r="Q87" s="115"/>
    </row>
    <row r="88" spans="1:17" ht="15.6" x14ac:dyDescent="0.3">
      <c r="A88" s="78"/>
      <c r="B88" s="5">
        <v>46056</v>
      </c>
      <c r="C88" s="1" t="s">
        <v>15</v>
      </c>
      <c r="D88" s="22" t="s">
        <v>16</v>
      </c>
      <c r="E88" s="22"/>
      <c r="F88" s="17">
        <v>10036</v>
      </c>
      <c r="G88" s="7">
        <v>65796</v>
      </c>
      <c r="O88" s="114"/>
      <c r="P88" s="114"/>
      <c r="Q88" s="115"/>
    </row>
    <row r="89" spans="1:17" ht="15.6" x14ac:dyDescent="0.3">
      <c r="A89" s="78"/>
      <c r="B89" s="5">
        <v>46064</v>
      </c>
      <c r="C89" s="1" t="s">
        <v>15</v>
      </c>
      <c r="D89" s="1" t="s">
        <v>16</v>
      </c>
      <c r="E89" s="1"/>
      <c r="F89" s="17">
        <v>9857</v>
      </c>
      <c r="G89" s="7">
        <v>64623</v>
      </c>
      <c r="O89" s="114"/>
      <c r="P89" s="114"/>
      <c r="Q89" s="115"/>
    </row>
    <row r="90" spans="1:17" ht="15.6" x14ac:dyDescent="0.3">
      <c r="A90" s="78"/>
      <c r="B90" s="5">
        <v>46073</v>
      </c>
      <c r="C90" s="21" t="s">
        <v>15</v>
      </c>
      <c r="D90" s="21" t="s">
        <v>16</v>
      </c>
      <c r="E90" s="1"/>
      <c r="F90" s="17">
        <v>9784</v>
      </c>
      <c r="G90" s="7">
        <v>64145</v>
      </c>
      <c r="O90" s="114"/>
      <c r="P90" s="114"/>
      <c r="Q90" s="115"/>
    </row>
    <row r="91" spans="1:17" ht="15.6" x14ac:dyDescent="0.3">
      <c r="A91" s="78"/>
      <c r="B91" s="5">
        <v>46063</v>
      </c>
      <c r="C91" s="1" t="s">
        <v>15</v>
      </c>
      <c r="D91" s="1" t="s">
        <v>16</v>
      </c>
      <c r="E91" s="1"/>
      <c r="F91" s="17">
        <v>9196</v>
      </c>
      <c r="G91" s="7">
        <v>60278</v>
      </c>
      <c r="O91" s="114"/>
      <c r="P91" s="114"/>
      <c r="Q91" s="115"/>
    </row>
    <row r="92" spans="1:17" ht="15.6" x14ac:dyDescent="0.3">
      <c r="A92" s="78"/>
      <c r="B92" s="5">
        <v>46064</v>
      </c>
      <c r="C92" s="1" t="s">
        <v>15</v>
      </c>
      <c r="D92" s="1" t="s">
        <v>16</v>
      </c>
      <c r="E92" s="1"/>
      <c r="F92" s="17">
        <v>8978</v>
      </c>
      <c r="G92" s="7">
        <v>58855</v>
      </c>
      <c r="O92" s="114"/>
      <c r="P92" s="114"/>
      <c r="Q92" s="115"/>
    </row>
    <row r="93" spans="1:17" ht="15.6" x14ac:dyDescent="0.3">
      <c r="A93" s="78"/>
      <c r="B93" s="5">
        <v>46057</v>
      </c>
      <c r="C93" s="1" t="s">
        <v>15</v>
      </c>
      <c r="D93" s="22" t="s">
        <v>16</v>
      </c>
      <c r="E93" s="22"/>
      <c r="F93" s="17">
        <v>8735</v>
      </c>
      <c r="G93" s="7">
        <v>57263</v>
      </c>
      <c r="O93" s="114"/>
      <c r="P93" s="114"/>
      <c r="Q93" s="115"/>
    </row>
    <row r="94" spans="1:17" ht="15.6" x14ac:dyDescent="0.3">
      <c r="A94" s="78"/>
      <c r="B94" s="5">
        <v>46066</v>
      </c>
      <c r="C94" s="1" t="s">
        <v>15</v>
      </c>
      <c r="D94" s="1" t="s">
        <v>16</v>
      </c>
      <c r="E94" s="1"/>
      <c r="F94" s="17">
        <v>8601</v>
      </c>
      <c r="G94" s="7">
        <v>56388</v>
      </c>
      <c r="O94" s="114"/>
      <c r="P94" s="114"/>
      <c r="Q94" s="115"/>
    </row>
    <row r="95" spans="1:17" ht="15.6" x14ac:dyDescent="0.3">
      <c r="A95" s="78"/>
      <c r="B95" s="30">
        <v>46071</v>
      </c>
      <c r="C95" s="21" t="s">
        <v>15</v>
      </c>
      <c r="D95" s="21" t="s">
        <v>16</v>
      </c>
      <c r="E95" s="1"/>
      <c r="F95" s="17">
        <v>8447</v>
      </c>
      <c r="G95" s="7">
        <v>55374</v>
      </c>
      <c r="O95" s="114"/>
      <c r="P95" s="114"/>
      <c r="Q95" s="115"/>
    </row>
    <row r="96" spans="1:17" ht="15.6" x14ac:dyDescent="0.3">
      <c r="A96" s="78"/>
      <c r="B96" s="30">
        <v>46070</v>
      </c>
      <c r="C96" s="21" t="s">
        <v>15</v>
      </c>
      <c r="D96" s="21" t="s">
        <v>16</v>
      </c>
      <c r="E96" s="1"/>
      <c r="F96" s="17">
        <v>7697</v>
      </c>
      <c r="G96" s="55">
        <v>50461</v>
      </c>
      <c r="O96" s="114"/>
      <c r="P96" s="114"/>
      <c r="Q96" s="115"/>
    </row>
    <row r="97" spans="1:17" ht="15.6" x14ac:dyDescent="0.3">
      <c r="A97" s="78"/>
      <c r="B97" s="30">
        <v>46055</v>
      </c>
      <c r="C97" s="21" t="s">
        <v>102</v>
      </c>
      <c r="D97" s="21" t="s">
        <v>30</v>
      </c>
      <c r="E97" s="1"/>
      <c r="F97" s="17">
        <v>7608</v>
      </c>
      <c r="G97" s="7">
        <v>50000</v>
      </c>
      <c r="O97" s="114"/>
      <c r="P97" s="114"/>
      <c r="Q97" s="115"/>
    </row>
    <row r="98" spans="1:17" ht="15.6" x14ac:dyDescent="0.3">
      <c r="A98" s="78"/>
      <c r="B98" s="5">
        <v>46079</v>
      </c>
      <c r="C98" s="21" t="s">
        <v>14</v>
      </c>
      <c r="D98" s="21" t="s">
        <v>135</v>
      </c>
      <c r="E98" s="1"/>
      <c r="F98" s="17">
        <v>6605</v>
      </c>
      <c r="G98" s="7">
        <v>43300</v>
      </c>
      <c r="O98" s="114"/>
      <c r="P98" s="114"/>
      <c r="Q98" s="115"/>
    </row>
    <row r="99" spans="1:17" ht="15.6" x14ac:dyDescent="0.3">
      <c r="A99" s="78"/>
      <c r="B99" s="30">
        <v>46081</v>
      </c>
      <c r="C99" s="21" t="s">
        <v>15</v>
      </c>
      <c r="D99" s="21" t="s">
        <v>16</v>
      </c>
      <c r="E99" s="1"/>
      <c r="F99" s="19">
        <v>6522</v>
      </c>
      <c r="G99" s="19">
        <v>42755</v>
      </c>
      <c r="O99" s="114"/>
      <c r="P99" s="114"/>
      <c r="Q99" s="115"/>
    </row>
    <row r="100" spans="1:17" ht="15.6" x14ac:dyDescent="0.3">
      <c r="A100" s="78"/>
      <c r="B100" s="5">
        <v>46077</v>
      </c>
      <c r="C100" s="21" t="s">
        <v>15</v>
      </c>
      <c r="D100" s="21" t="s">
        <v>16</v>
      </c>
      <c r="E100" s="1"/>
      <c r="F100" s="17">
        <v>5855</v>
      </c>
      <c r="G100" s="7">
        <v>38388</v>
      </c>
      <c r="O100" s="114"/>
      <c r="P100" s="114"/>
      <c r="Q100" s="115"/>
    </row>
    <row r="101" spans="1:17" ht="15.6" x14ac:dyDescent="0.3">
      <c r="A101" s="78"/>
      <c r="B101" s="53">
        <v>46075</v>
      </c>
      <c r="C101" s="21" t="s">
        <v>15</v>
      </c>
      <c r="D101" s="21" t="s">
        <v>16</v>
      </c>
      <c r="E101" s="1"/>
      <c r="F101" s="17">
        <v>4863</v>
      </c>
      <c r="G101" s="7">
        <v>31884</v>
      </c>
      <c r="O101" s="114"/>
      <c r="P101" s="114"/>
      <c r="Q101" s="115"/>
    </row>
    <row r="102" spans="1:17" ht="15.6" x14ac:dyDescent="0.3">
      <c r="A102" s="78"/>
      <c r="B102" s="5">
        <v>46078</v>
      </c>
      <c r="C102" s="21" t="s">
        <v>15</v>
      </c>
      <c r="D102" s="21" t="s">
        <v>16</v>
      </c>
      <c r="E102" s="1"/>
      <c r="F102" s="17">
        <v>4457</v>
      </c>
      <c r="G102" s="7">
        <v>29218</v>
      </c>
      <c r="O102" s="114"/>
      <c r="P102" s="114"/>
      <c r="Q102" s="115"/>
    </row>
    <row r="103" spans="1:17" ht="15.6" x14ac:dyDescent="0.3">
      <c r="A103" s="78"/>
      <c r="B103" s="5">
        <v>46055</v>
      </c>
      <c r="C103" s="1" t="s">
        <v>76</v>
      </c>
      <c r="D103" s="1" t="s">
        <v>63</v>
      </c>
      <c r="E103" s="1"/>
      <c r="F103" s="17">
        <v>3889</v>
      </c>
      <c r="G103" s="7">
        <v>25500</v>
      </c>
      <c r="O103" s="114"/>
      <c r="P103" s="114"/>
      <c r="Q103" s="115"/>
    </row>
    <row r="104" spans="1:17" ht="15.6" x14ac:dyDescent="0.3">
      <c r="A104" s="78"/>
      <c r="B104" s="5">
        <v>46078</v>
      </c>
      <c r="C104" s="21" t="s">
        <v>15</v>
      </c>
      <c r="D104" s="21" t="s">
        <v>16</v>
      </c>
      <c r="E104" s="1"/>
      <c r="F104" s="17">
        <v>3532</v>
      </c>
      <c r="G104" s="55">
        <v>23152</v>
      </c>
      <c r="O104" s="114"/>
      <c r="P104" s="114"/>
      <c r="Q104" s="115"/>
    </row>
    <row r="105" spans="1:17" ht="15.6" x14ac:dyDescent="0.3">
      <c r="A105" s="78"/>
      <c r="B105" s="5">
        <v>46078</v>
      </c>
      <c r="C105" s="21" t="s">
        <v>15</v>
      </c>
      <c r="D105" s="21" t="s">
        <v>16</v>
      </c>
      <c r="E105" s="1"/>
      <c r="F105" s="17">
        <v>3531</v>
      </c>
      <c r="G105" s="7">
        <v>23152</v>
      </c>
      <c r="O105" s="114"/>
      <c r="P105" s="114"/>
      <c r="Q105" s="115"/>
    </row>
    <row r="106" spans="1:17" ht="15.6" x14ac:dyDescent="0.3">
      <c r="A106" s="78"/>
      <c r="B106" s="30">
        <v>46070</v>
      </c>
      <c r="C106" s="21" t="s">
        <v>12</v>
      </c>
      <c r="D106" s="21" t="s">
        <v>75</v>
      </c>
      <c r="E106" s="1"/>
      <c r="F106" s="17">
        <v>3095</v>
      </c>
      <c r="G106" s="7">
        <v>20290</v>
      </c>
      <c r="O106" s="114"/>
      <c r="P106" s="114"/>
      <c r="Q106" s="115"/>
    </row>
    <row r="107" spans="1:17" ht="15.6" x14ac:dyDescent="0.3">
      <c r="A107" s="78"/>
      <c r="B107" s="30">
        <v>46069</v>
      </c>
      <c r="C107" s="21" t="s">
        <v>131</v>
      </c>
      <c r="D107" s="21" t="s">
        <v>132</v>
      </c>
      <c r="E107" s="1"/>
      <c r="F107" s="17">
        <v>3050</v>
      </c>
      <c r="G107" s="7">
        <v>20000</v>
      </c>
      <c r="O107" s="114"/>
      <c r="P107" s="114"/>
      <c r="Q107" s="115"/>
    </row>
    <row r="108" spans="1:17" ht="15.6" x14ac:dyDescent="0.3">
      <c r="A108" s="78"/>
      <c r="B108" s="30">
        <v>46076</v>
      </c>
      <c r="C108" s="21" t="s">
        <v>14</v>
      </c>
      <c r="D108" s="21" t="s">
        <v>44</v>
      </c>
      <c r="E108" s="1"/>
      <c r="F108" s="17">
        <v>2929</v>
      </c>
      <c r="G108" s="7">
        <v>19200</v>
      </c>
      <c r="O108" s="114"/>
      <c r="P108" s="114"/>
      <c r="Q108" s="115"/>
    </row>
    <row r="109" spans="1:17" ht="15.6" x14ac:dyDescent="0.3">
      <c r="A109" s="78"/>
      <c r="B109" s="5">
        <v>46077</v>
      </c>
      <c r="C109" s="21" t="s">
        <v>136</v>
      </c>
      <c r="D109" s="21" t="s">
        <v>43</v>
      </c>
      <c r="E109" s="1"/>
      <c r="F109" s="17">
        <v>1908</v>
      </c>
      <c r="G109" s="7">
        <v>12506</v>
      </c>
      <c r="O109" s="114"/>
      <c r="P109" s="114"/>
      <c r="Q109" s="115"/>
    </row>
    <row r="110" spans="1:17" ht="15.6" x14ac:dyDescent="0.3">
      <c r="A110" s="78"/>
      <c r="B110" s="53">
        <v>46076</v>
      </c>
      <c r="C110" s="21" t="s">
        <v>15</v>
      </c>
      <c r="D110" s="21" t="s">
        <v>16</v>
      </c>
      <c r="E110" s="1"/>
      <c r="F110" s="17">
        <v>1250</v>
      </c>
      <c r="G110" s="7">
        <v>8195</v>
      </c>
      <c r="O110" s="114"/>
      <c r="P110" s="114"/>
      <c r="Q110" s="115"/>
    </row>
    <row r="111" spans="1:17" ht="15.6" x14ac:dyDescent="0.3">
      <c r="A111" s="78"/>
      <c r="B111" s="5">
        <v>46055</v>
      </c>
      <c r="C111" s="1" t="s">
        <v>116</v>
      </c>
      <c r="D111" s="22" t="s">
        <v>117</v>
      </c>
      <c r="E111" s="22"/>
      <c r="F111" s="7"/>
      <c r="G111" s="7">
        <v>21000</v>
      </c>
      <c r="O111" s="114"/>
      <c r="P111" s="114"/>
      <c r="Q111" s="115"/>
    </row>
    <row r="112" spans="1:17" ht="15.6" x14ac:dyDescent="0.3">
      <c r="A112" s="78"/>
      <c r="B112" s="5">
        <v>46059</v>
      </c>
      <c r="C112" s="21" t="s">
        <v>79</v>
      </c>
      <c r="D112" s="21" t="s">
        <v>120</v>
      </c>
      <c r="E112" s="1"/>
      <c r="F112" s="17"/>
      <c r="G112" s="7">
        <v>4850000</v>
      </c>
      <c r="O112" s="114"/>
      <c r="P112" s="114"/>
      <c r="Q112" s="115"/>
    </row>
    <row r="113" spans="1:17" ht="15.6" x14ac:dyDescent="0.3">
      <c r="A113" s="78"/>
      <c r="B113" s="5">
        <v>46066</v>
      </c>
      <c r="C113" s="1" t="s">
        <v>79</v>
      </c>
      <c r="D113" s="22" t="s">
        <v>120</v>
      </c>
      <c r="E113" s="22"/>
      <c r="F113" s="7"/>
      <c r="G113" s="7">
        <v>4650000</v>
      </c>
      <c r="O113" s="114"/>
      <c r="P113" s="114"/>
      <c r="Q113" s="115"/>
    </row>
    <row r="114" spans="1:17" ht="15.6" x14ac:dyDescent="0.3">
      <c r="A114" s="78"/>
      <c r="B114" s="5">
        <v>46064</v>
      </c>
      <c r="C114" s="1" t="s">
        <v>60</v>
      </c>
      <c r="D114" s="22" t="s">
        <v>17</v>
      </c>
      <c r="E114" s="1"/>
      <c r="F114" s="7"/>
      <c r="G114" s="7">
        <v>757500</v>
      </c>
      <c r="O114" s="114"/>
      <c r="P114" s="114"/>
      <c r="Q114" s="115"/>
    </row>
    <row r="115" spans="1:17" ht="15.6" x14ac:dyDescent="0.3">
      <c r="A115" s="78"/>
      <c r="B115" s="5">
        <v>46065</v>
      </c>
      <c r="C115" s="1" t="s">
        <v>60</v>
      </c>
      <c r="D115" s="1" t="s">
        <v>17</v>
      </c>
      <c r="E115" s="1"/>
      <c r="F115" s="17"/>
      <c r="G115" s="7">
        <v>757000</v>
      </c>
      <c r="O115" s="114"/>
      <c r="P115" s="114"/>
      <c r="Q115" s="115"/>
    </row>
    <row r="116" spans="1:17" ht="15.6" x14ac:dyDescent="0.3">
      <c r="A116" s="78"/>
      <c r="B116" s="30">
        <v>46069</v>
      </c>
      <c r="C116" s="1" t="s">
        <v>130</v>
      </c>
      <c r="D116" s="1" t="s">
        <v>68</v>
      </c>
      <c r="E116" s="1"/>
      <c r="F116" s="17"/>
      <c r="G116" s="7">
        <v>100000</v>
      </c>
      <c r="O116" s="114"/>
      <c r="P116" s="114"/>
      <c r="Q116" s="115"/>
    </row>
    <row r="117" spans="1:17" ht="15.6" x14ac:dyDescent="0.3">
      <c r="A117" s="78"/>
      <c r="B117" s="5">
        <v>46072</v>
      </c>
      <c r="C117" s="21" t="s">
        <v>28</v>
      </c>
      <c r="D117" s="21" t="s">
        <v>7</v>
      </c>
      <c r="E117" s="1"/>
      <c r="F117" s="17"/>
      <c r="G117" s="7">
        <v>429300</v>
      </c>
      <c r="O117" s="114"/>
      <c r="P117" s="114"/>
      <c r="Q117" s="115"/>
    </row>
    <row r="118" spans="1:17" ht="15.6" x14ac:dyDescent="0.3">
      <c r="A118" s="78"/>
      <c r="B118" s="30"/>
      <c r="C118" s="21"/>
      <c r="D118" s="21"/>
      <c r="E118" s="1"/>
      <c r="F118" s="17"/>
      <c r="G118" s="7"/>
      <c r="O118" s="114"/>
      <c r="P118" s="114"/>
      <c r="Q118" s="115"/>
    </row>
    <row r="119" spans="1:17" ht="15.6" x14ac:dyDescent="0.3">
      <c r="A119" s="78"/>
      <c r="B119" s="120" t="s">
        <v>18</v>
      </c>
      <c r="C119" s="120"/>
      <c r="D119" s="121">
        <v>19295750</v>
      </c>
      <c r="E119" s="122">
        <f>D119*18/118</f>
        <v>2943419.4915254237</v>
      </c>
      <c r="F119" s="103"/>
      <c r="G119" s="103"/>
      <c r="O119" s="114"/>
      <c r="P119" s="114"/>
      <c r="Q119" s="115"/>
    </row>
    <row r="120" spans="1:17" ht="15.6" x14ac:dyDescent="0.3">
      <c r="A120" s="78"/>
      <c r="B120" s="120" t="s">
        <v>19</v>
      </c>
      <c r="C120" s="120"/>
      <c r="D120" s="121">
        <v>2162000</v>
      </c>
      <c r="E120" s="122">
        <f>D120*18/118</f>
        <v>329796.6101694915</v>
      </c>
      <c r="F120" s="103"/>
      <c r="G120" s="103"/>
      <c r="H120" s="56"/>
      <c r="O120" s="114"/>
      <c r="P120" s="114"/>
      <c r="Q120" s="115"/>
    </row>
    <row r="121" spans="1:17" ht="15.6" x14ac:dyDescent="0.3">
      <c r="A121" s="78"/>
      <c r="B121" s="120"/>
      <c r="C121" s="121">
        <f>D119+D120</f>
        <v>21457750</v>
      </c>
      <c r="D121" s="148"/>
      <c r="E121" s="122">
        <f>D121*18/118</f>
        <v>0</v>
      </c>
      <c r="F121" s="103">
        <f>SUM(F73:F120)</f>
        <v>3200707</v>
      </c>
      <c r="G121" s="103"/>
      <c r="O121" s="114"/>
      <c r="P121" s="114"/>
      <c r="Q121" s="115"/>
    </row>
    <row r="122" spans="1:17" ht="15.6" x14ac:dyDescent="0.3">
      <c r="A122" s="78"/>
      <c r="B122" s="119" t="s">
        <v>20</v>
      </c>
      <c r="C122" s="119"/>
      <c r="D122" s="119"/>
      <c r="E122" s="119" t="s">
        <v>39</v>
      </c>
      <c r="F122" s="104" t="s">
        <v>40</v>
      </c>
      <c r="G122" s="104" t="s">
        <v>21</v>
      </c>
      <c r="O122" s="114"/>
      <c r="P122" s="114"/>
      <c r="Q122" s="115"/>
    </row>
    <row r="123" spans="1:17" x14ac:dyDescent="0.3">
      <c r="A123" s="78"/>
      <c r="B123" s="102"/>
      <c r="C123" s="101"/>
      <c r="D123" s="102"/>
      <c r="E123" s="102"/>
      <c r="F123" s="103"/>
      <c r="G123" s="103"/>
    </row>
    <row r="124" spans="1:17" x14ac:dyDescent="0.3">
      <c r="A124" s="78"/>
      <c r="B124" s="102" t="s">
        <v>22</v>
      </c>
      <c r="C124" s="102"/>
      <c r="D124" s="102"/>
      <c r="E124" s="103">
        <v>2943419</v>
      </c>
      <c r="F124" s="103"/>
      <c r="G124" s="103"/>
    </row>
    <row r="125" spans="1:17" x14ac:dyDescent="0.3">
      <c r="A125" s="78"/>
      <c r="B125" s="102" t="s">
        <v>23</v>
      </c>
      <c r="C125" s="102"/>
      <c r="D125" s="102"/>
      <c r="E125" s="103">
        <v>323771</v>
      </c>
      <c r="F125" s="103"/>
      <c r="G125" s="103"/>
    </row>
    <row r="126" spans="1:17" x14ac:dyDescent="0.3">
      <c r="A126" s="78"/>
      <c r="B126" s="102"/>
      <c r="C126" s="102"/>
      <c r="D126" s="102"/>
      <c r="E126" s="103"/>
      <c r="F126" s="103"/>
      <c r="G126" s="103"/>
    </row>
    <row r="127" spans="1:17" x14ac:dyDescent="0.3">
      <c r="A127" s="78"/>
      <c r="B127" s="102" t="s">
        <v>24</v>
      </c>
      <c r="C127" s="102"/>
      <c r="D127" s="102"/>
      <c r="E127" s="103">
        <f>SUM(E124:E126)</f>
        <v>3267190</v>
      </c>
      <c r="F127" s="103">
        <f>F121</f>
        <v>3200707</v>
      </c>
      <c r="G127" s="158">
        <f>E127-F127</f>
        <v>66483</v>
      </c>
      <c r="H127" s="159" t="s">
        <v>144</v>
      </c>
    </row>
    <row r="128" spans="1:17" x14ac:dyDescent="0.3">
      <c r="A128" s="78"/>
      <c r="B128" s="102"/>
      <c r="C128" s="102"/>
      <c r="D128" s="102"/>
      <c r="E128" s="103"/>
      <c r="F128" s="103"/>
      <c r="G128" s="103"/>
    </row>
    <row r="129" spans="1:9" x14ac:dyDescent="0.3">
      <c r="A129" s="78"/>
      <c r="B129" s="129" t="s">
        <v>25</v>
      </c>
      <c r="C129" s="129"/>
      <c r="D129" s="129"/>
      <c r="E129" s="130">
        <f>G127*118/18</f>
        <v>435833</v>
      </c>
      <c r="F129" s="130" t="s">
        <v>29</v>
      </c>
      <c r="G129" s="130"/>
    </row>
    <row r="130" spans="1:9" x14ac:dyDescent="0.3">
      <c r="A130" s="78"/>
      <c r="B130" s="27"/>
      <c r="C130" s="27"/>
      <c r="D130" s="27"/>
      <c r="E130" s="25"/>
      <c r="F130" s="38"/>
      <c r="G130" s="35"/>
    </row>
    <row r="131" spans="1:9" x14ac:dyDescent="0.3">
      <c r="A131" s="78"/>
      <c r="B131" s="21" t="s">
        <v>137</v>
      </c>
      <c r="C131" s="21"/>
      <c r="D131" s="21"/>
      <c r="E131" s="1"/>
      <c r="F131" s="17"/>
      <c r="G131" s="7"/>
    </row>
    <row r="132" spans="1:9" x14ac:dyDescent="0.3">
      <c r="A132" s="78"/>
      <c r="B132" s="30">
        <v>46093</v>
      </c>
      <c r="C132" s="21" t="s">
        <v>10</v>
      </c>
      <c r="D132" s="21" t="s">
        <v>9</v>
      </c>
      <c r="E132" s="1"/>
      <c r="F132" s="17">
        <v>915254</v>
      </c>
      <c r="G132" s="7">
        <v>6000000</v>
      </c>
    </row>
    <row r="133" spans="1:9" x14ac:dyDescent="0.3">
      <c r="A133" s="78"/>
      <c r="B133" s="30">
        <v>46090</v>
      </c>
      <c r="C133" s="21" t="s">
        <v>77</v>
      </c>
      <c r="D133" s="21" t="s">
        <v>59</v>
      </c>
      <c r="E133" s="1"/>
      <c r="F133" s="17">
        <v>277992</v>
      </c>
      <c r="G133" s="7">
        <v>1822392</v>
      </c>
    </row>
    <row r="134" spans="1:9" x14ac:dyDescent="0.3">
      <c r="A134" s="78"/>
      <c r="B134" s="30">
        <v>46092</v>
      </c>
      <c r="C134" s="21" t="s">
        <v>143</v>
      </c>
      <c r="D134" s="21" t="s">
        <v>142</v>
      </c>
      <c r="E134" s="1"/>
      <c r="F134" s="17">
        <v>205932</v>
      </c>
      <c r="G134" s="7">
        <v>1350000</v>
      </c>
    </row>
    <row r="135" spans="1:9" x14ac:dyDescent="0.3">
      <c r="A135" s="78"/>
      <c r="B135" s="30">
        <v>46090</v>
      </c>
      <c r="C135" s="21" t="s">
        <v>141</v>
      </c>
      <c r="D135" s="21" t="s">
        <v>140</v>
      </c>
      <c r="E135" s="1"/>
      <c r="F135" s="7">
        <v>61505</v>
      </c>
      <c r="G135" s="7">
        <v>403200</v>
      </c>
    </row>
    <row r="136" spans="1:9" x14ac:dyDescent="0.3">
      <c r="A136" s="78"/>
      <c r="B136" s="30">
        <v>46083</v>
      </c>
      <c r="C136" s="21" t="s">
        <v>61</v>
      </c>
      <c r="D136" s="21" t="s">
        <v>62</v>
      </c>
      <c r="E136" s="1"/>
      <c r="F136" s="7">
        <v>13118</v>
      </c>
      <c r="G136" s="7">
        <v>86000</v>
      </c>
    </row>
    <row r="137" spans="1:9" x14ac:dyDescent="0.3">
      <c r="A137" s="78"/>
      <c r="B137" s="30">
        <v>46088</v>
      </c>
      <c r="C137" s="21" t="s">
        <v>15</v>
      </c>
      <c r="D137" s="21" t="s">
        <v>16</v>
      </c>
      <c r="E137" s="1"/>
      <c r="F137" s="7">
        <v>12864</v>
      </c>
      <c r="G137" s="7">
        <v>84334</v>
      </c>
      <c r="I137" s="20"/>
    </row>
    <row r="138" spans="1:9" x14ac:dyDescent="0.3">
      <c r="A138" s="78"/>
      <c r="B138" s="30">
        <v>46092</v>
      </c>
      <c r="C138" s="21" t="s">
        <v>15</v>
      </c>
      <c r="D138" s="21" t="s">
        <v>16</v>
      </c>
      <c r="E138" s="1"/>
      <c r="F138" s="17">
        <v>12324</v>
      </c>
      <c r="G138" s="7">
        <v>80793</v>
      </c>
      <c r="H138" t="s">
        <v>9</v>
      </c>
      <c r="I138" s="7">
        <v>6000000</v>
      </c>
    </row>
    <row r="139" spans="1:9" x14ac:dyDescent="0.3">
      <c r="A139" s="78"/>
      <c r="B139" s="30">
        <v>46084</v>
      </c>
      <c r="C139" s="21" t="s">
        <v>15</v>
      </c>
      <c r="D139" s="21" t="s">
        <v>16</v>
      </c>
      <c r="E139" s="1"/>
      <c r="F139" s="7">
        <v>11050</v>
      </c>
      <c r="G139" s="7">
        <v>72439</v>
      </c>
      <c r="I139" s="7">
        <v>6100000</v>
      </c>
    </row>
    <row r="140" spans="1:9" x14ac:dyDescent="0.3">
      <c r="A140" s="78"/>
      <c r="B140" s="30">
        <v>46083</v>
      </c>
      <c r="C140" s="21" t="s">
        <v>15</v>
      </c>
      <c r="D140" s="21" t="s">
        <v>16</v>
      </c>
      <c r="E140" s="1"/>
      <c r="F140" s="17">
        <v>10616</v>
      </c>
      <c r="G140" s="7">
        <v>69595</v>
      </c>
      <c r="I140" s="7"/>
    </row>
    <row r="141" spans="1:9" x14ac:dyDescent="0.3">
      <c r="A141" s="78"/>
      <c r="B141" s="30">
        <v>46083</v>
      </c>
      <c r="C141" s="21" t="s">
        <v>138</v>
      </c>
      <c r="D141" s="21" t="s">
        <v>139</v>
      </c>
      <c r="E141" s="1"/>
      <c r="F141" s="7">
        <v>7017</v>
      </c>
      <c r="G141" s="7">
        <v>46000</v>
      </c>
      <c r="H141" t="s">
        <v>124</v>
      </c>
      <c r="I141" s="7">
        <v>1208000</v>
      </c>
    </row>
    <row r="142" spans="1:9" x14ac:dyDescent="0.3">
      <c r="A142" s="78"/>
      <c r="B142" s="36"/>
      <c r="C142" s="21" t="s">
        <v>15</v>
      </c>
      <c r="D142" s="21" t="s">
        <v>16</v>
      </c>
      <c r="E142" s="1"/>
      <c r="F142" s="17">
        <v>6386</v>
      </c>
      <c r="G142" s="7">
        <v>41868</v>
      </c>
      <c r="I142" s="7">
        <v>4200000</v>
      </c>
    </row>
    <row r="143" spans="1:9" x14ac:dyDescent="0.3">
      <c r="A143" s="78"/>
      <c r="B143" s="30">
        <v>46084</v>
      </c>
      <c r="C143" s="21" t="s">
        <v>15</v>
      </c>
      <c r="D143" s="21" t="s">
        <v>16</v>
      </c>
      <c r="E143" s="1"/>
      <c r="F143" s="7">
        <v>5467</v>
      </c>
      <c r="G143" s="7">
        <v>35842</v>
      </c>
      <c r="I143" s="7">
        <f>SUM(I138:I142)</f>
        <v>17508000</v>
      </c>
    </row>
    <row r="144" spans="1:9" x14ac:dyDescent="0.3">
      <c r="A144" s="78"/>
      <c r="B144" s="30">
        <v>46087</v>
      </c>
      <c r="C144" s="21" t="s">
        <v>15</v>
      </c>
      <c r="D144" s="21" t="s">
        <v>16</v>
      </c>
      <c r="E144" s="1"/>
      <c r="F144" s="7">
        <v>4648</v>
      </c>
      <c r="G144" s="7">
        <v>30471</v>
      </c>
      <c r="H144" t="s">
        <v>125</v>
      </c>
      <c r="I144" s="7">
        <f>C169</f>
        <v>21595150</v>
      </c>
    </row>
    <row r="145" spans="1:10" x14ac:dyDescent="0.3">
      <c r="A145" s="78"/>
      <c r="B145" s="37"/>
      <c r="C145" s="21" t="s">
        <v>55</v>
      </c>
      <c r="D145" s="21" t="s">
        <v>43</v>
      </c>
      <c r="E145" s="1"/>
      <c r="F145" s="7">
        <v>1289</v>
      </c>
      <c r="G145" s="7">
        <v>8450</v>
      </c>
      <c r="I145" s="7"/>
    </row>
    <row r="146" spans="1:10" x14ac:dyDescent="0.3">
      <c r="A146" s="78"/>
      <c r="B146" s="30">
        <v>46095</v>
      </c>
      <c r="C146" s="54" t="s">
        <v>148</v>
      </c>
      <c r="D146" s="21" t="s">
        <v>9</v>
      </c>
      <c r="E146" s="1"/>
      <c r="F146" s="7">
        <v>930508</v>
      </c>
      <c r="G146" s="7">
        <v>6100000</v>
      </c>
      <c r="I146" s="19">
        <f>I144-I143</f>
        <v>4087150</v>
      </c>
    </row>
    <row r="147" spans="1:10" x14ac:dyDescent="0.3">
      <c r="A147" s="78"/>
      <c r="B147" s="30">
        <v>46095</v>
      </c>
      <c r="C147" s="21" t="s">
        <v>107</v>
      </c>
      <c r="D147" s="21" t="s">
        <v>149</v>
      </c>
      <c r="E147" s="1"/>
      <c r="F147" s="17">
        <v>633814</v>
      </c>
      <c r="G147" s="55">
        <v>4155000</v>
      </c>
      <c r="I147" s="7"/>
    </row>
    <row r="148" spans="1:10" x14ac:dyDescent="0.3">
      <c r="A148" s="78"/>
      <c r="B148" s="37"/>
      <c r="C148" s="21" t="s">
        <v>102</v>
      </c>
      <c r="D148" s="21" t="s">
        <v>30</v>
      </c>
      <c r="E148" s="1"/>
      <c r="F148" s="7">
        <v>15254</v>
      </c>
      <c r="G148" s="7">
        <v>100000</v>
      </c>
      <c r="I148" s="7"/>
    </row>
    <row r="149" spans="1:10" x14ac:dyDescent="0.3">
      <c r="A149" s="78"/>
      <c r="B149" s="30">
        <v>46098</v>
      </c>
      <c r="C149" s="21" t="s">
        <v>15</v>
      </c>
      <c r="D149" s="21" t="s">
        <v>16</v>
      </c>
      <c r="E149" s="1"/>
      <c r="F149" s="7">
        <v>11848</v>
      </c>
      <c r="G149" s="7">
        <v>77670</v>
      </c>
    </row>
    <row r="150" spans="1:10" x14ac:dyDescent="0.3">
      <c r="A150" s="78"/>
      <c r="B150" s="30">
        <v>46100</v>
      </c>
      <c r="C150" s="21" t="s">
        <v>15</v>
      </c>
      <c r="D150" s="21" t="s">
        <v>16</v>
      </c>
      <c r="E150" s="1"/>
      <c r="F150" s="7">
        <v>9627</v>
      </c>
      <c r="G150" s="7">
        <v>63111</v>
      </c>
    </row>
    <row r="151" spans="1:10" x14ac:dyDescent="0.3">
      <c r="A151" s="78"/>
      <c r="B151" s="30">
        <v>46096</v>
      </c>
      <c r="C151" s="21" t="s">
        <v>15</v>
      </c>
      <c r="D151" s="21" t="s">
        <v>16</v>
      </c>
      <c r="E151" s="1"/>
      <c r="F151" s="7">
        <v>8947</v>
      </c>
      <c r="G151" s="7">
        <v>58656</v>
      </c>
    </row>
    <row r="152" spans="1:10" x14ac:dyDescent="0.3">
      <c r="A152" s="78"/>
      <c r="B152" s="30">
        <v>46097</v>
      </c>
      <c r="C152" s="21" t="s">
        <v>15</v>
      </c>
      <c r="D152" s="21" t="s">
        <v>16</v>
      </c>
      <c r="E152" s="1"/>
      <c r="F152" s="7">
        <v>3200</v>
      </c>
      <c r="G152" s="157">
        <v>20984</v>
      </c>
    </row>
    <row r="153" spans="1:10" x14ac:dyDescent="0.3">
      <c r="A153" s="78"/>
      <c r="B153" s="30">
        <v>46104</v>
      </c>
      <c r="C153" s="21" t="s">
        <v>15</v>
      </c>
      <c r="D153" s="21" t="s">
        <v>16</v>
      </c>
      <c r="E153" s="1"/>
      <c r="F153" s="7">
        <v>5958</v>
      </c>
      <c r="G153" s="7">
        <v>39064</v>
      </c>
    </row>
    <row r="154" spans="1:10" x14ac:dyDescent="0.3">
      <c r="A154" s="78"/>
      <c r="B154" s="36">
        <v>46106</v>
      </c>
      <c r="C154" s="21" t="s">
        <v>102</v>
      </c>
      <c r="D154" s="21" t="s">
        <v>30</v>
      </c>
      <c r="E154" s="1"/>
      <c r="F154" s="7">
        <v>45763</v>
      </c>
      <c r="G154" s="7">
        <v>300000</v>
      </c>
    </row>
    <row r="155" spans="1:10" x14ac:dyDescent="0.3">
      <c r="A155" s="78"/>
      <c r="B155" s="5">
        <v>46107</v>
      </c>
      <c r="C155" s="1" t="s">
        <v>14</v>
      </c>
      <c r="D155" s="1" t="s">
        <v>31</v>
      </c>
      <c r="E155" s="1"/>
      <c r="F155" s="7">
        <v>12691</v>
      </c>
      <c r="G155" s="7">
        <v>83200</v>
      </c>
      <c r="J155" s="20"/>
    </row>
    <row r="156" spans="1:10" x14ac:dyDescent="0.3">
      <c r="A156" s="78"/>
      <c r="B156" s="5">
        <v>46112</v>
      </c>
      <c r="C156" s="1" t="s">
        <v>15</v>
      </c>
      <c r="D156" s="1" t="s">
        <v>16</v>
      </c>
      <c r="E156" s="1"/>
      <c r="F156" s="7">
        <v>8920</v>
      </c>
      <c r="G156" s="7">
        <v>58477</v>
      </c>
      <c r="J156" s="20"/>
    </row>
    <row r="157" spans="1:10" x14ac:dyDescent="0.3">
      <c r="A157" s="78"/>
      <c r="B157" s="5">
        <v>46111</v>
      </c>
      <c r="C157" s="1" t="s">
        <v>15</v>
      </c>
      <c r="D157" s="1" t="s">
        <v>16</v>
      </c>
      <c r="E157" s="1"/>
      <c r="F157" s="7">
        <v>5864</v>
      </c>
      <c r="G157" s="7">
        <v>38447</v>
      </c>
      <c r="J157" s="20"/>
    </row>
    <row r="158" spans="1:10" x14ac:dyDescent="0.3">
      <c r="A158" s="78"/>
      <c r="B158" s="5">
        <v>46106</v>
      </c>
      <c r="C158" s="1" t="s">
        <v>15</v>
      </c>
      <c r="D158" s="1" t="s">
        <v>16</v>
      </c>
      <c r="E158" s="1"/>
      <c r="F158" s="7">
        <v>13195</v>
      </c>
      <c r="G158" s="7">
        <v>86502</v>
      </c>
      <c r="J158" s="20"/>
    </row>
    <row r="159" spans="1:10" x14ac:dyDescent="0.3">
      <c r="A159" s="78"/>
      <c r="B159" s="5">
        <v>46108</v>
      </c>
      <c r="C159" s="1" t="s">
        <v>15</v>
      </c>
      <c r="D159" s="1" t="s">
        <v>16</v>
      </c>
      <c r="E159" s="1"/>
      <c r="F159" s="7">
        <v>6301</v>
      </c>
      <c r="G159" s="7">
        <v>41312</v>
      </c>
      <c r="J159" s="20"/>
    </row>
    <row r="160" spans="1:10" x14ac:dyDescent="0.3">
      <c r="A160" s="78"/>
      <c r="B160" s="5">
        <v>46098</v>
      </c>
      <c r="C160" s="1"/>
      <c r="D160" s="1" t="s">
        <v>156</v>
      </c>
      <c r="E160" s="1"/>
      <c r="F160" s="7">
        <v>73220</v>
      </c>
      <c r="G160" s="7">
        <v>480000</v>
      </c>
      <c r="J160" s="20"/>
    </row>
    <row r="161" spans="1:8" x14ac:dyDescent="0.3">
      <c r="A161" s="78"/>
      <c r="B161" s="5">
        <v>46111</v>
      </c>
      <c r="C161" s="1" t="s">
        <v>15</v>
      </c>
      <c r="D161" s="1" t="s">
        <v>16</v>
      </c>
      <c r="E161" s="1"/>
      <c r="F161" s="7">
        <v>7084</v>
      </c>
      <c r="G161" s="7">
        <v>46443</v>
      </c>
    </row>
    <row r="162" spans="1:8" x14ac:dyDescent="0.3">
      <c r="A162" s="78"/>
      <c r="B162" s="1"/>
      <c r="C162" s="1"/>
      <c r="D162" s="1"/>
      <c r="E162" s="1"/>
      <c r="F162" s="7"/>
      <c r="G162" s="7"/>
    </row>
    <row r="163" spans="1:8" x14ac:dyDescent="0.3">
      <c r="A163" s="78"/>
      <c r="B163" s="30">
        <v>46092</v>
      </c>
      <c r="C163" s="21" t="s">
        <v>60</v>
      </c>
      <c r="D163" s="21" t="s">
        <v>17</v>
      </c>
      <c r="E163" s="1"/>
      <c r="F163" s="7"/>
      <c r="G163" s="7">
        <v>808000</v>
      </c>
    </row>
    <row r="164" spans="1:8" x14ac:dyDescent="0.3">
      <c r="A164" s="78"/>
      <c r="B164" s="163">
        <v>46094</v>
      </c>
      <c r="C164" s="21" t="s">
        <v>147</v>
      </c>
      <c r="D164" s="21" t="s">
        <v>146</v>
      </c>
      <c r="E164" s="1"/>
      <c r="F164" s="7"/>
      <c r="G164" s="7">
        <v>400000</v>
      </c>
    </row>
    <row r="165" spans="1:8" x14ac:dyDescent="0.3">
      <c r="A165" s="78"/>
      <c r="B165" s="95">
        <v>46112</v>
      </c>
      <c r="C165" s="21" t="s">
        <v>79</v>
      </c>
      <c r="D165" s="21" t="s">
        <v>8</v>
      </c>
      <c r="E165" s="1"/>
      <c r="F165" s="7"/>
      <c r="G165" s="7">
        <v>4200000</v>
      </c>
    </row>
    <row r="166" spans="1:8" ht="21" x14ac:dyDescent="0.4">
      <c r="A166" s="78"/>
      <c r="B166" s="125"/>
      <c r="C166" s="125"/>
      <c r="D166" s="125"/>
      <c r="E166" s="125"/>
      <c r="F166" s="126"/>
      <c r="G166" s="126">
        <f>SUM(G163:G165)</f>
        <v>5408000</v>
      </c>
    </row>
    <row r="167" spans="1:8" ht="15.6" x14ac:dyDescent="0.3">
      <c r="A167" s="25"/>
      <c r="B167" s="120" t="s">
        <v>18</v>
      </c>
      <c r="C167" s="120"/>
      <c r="D167" s="121">
        <v>19789250</v>
      </c>
      <c r="E167" s="122">
        <f>D167*18/118</f>
        <v>3018699.1525423727</v>
      </c>
      <c r="F167" s="103"/>
      <c r="G167" s="103"/>
    </row>
    <row r="168" spans="1:8" ht="16.2" customHeight="1" x14ac:dyDescent="0.4">
      <c r="A168" s="125"/>
      <c r="B168" s="120" t="s">
        <v>19</v>
      </c>
      <c r="C168" s="120"/>
      <c r="D168" s="121">
        <v>1805900</v>
      </c>
      <c r="E168" s="122">
        <f>D168*18/118</f>
        <v>275476.27118644066</v>
      </c>
      <c r="F168" s="103"/>
      <c r="G168" s="103"/>
    </row>
    <row r="169" spans="1:8" ht="16.2" customHeight="1" x14ac:dyDescent="0.3">
      <c r="A169" s="95"/>
      <c r="B169" s="120"/>
      <c r="C169" s="121">
        <f>D167+D168</f>
        <v>21595150</v>
      </c>
      <c r="D169" s="120"/>
      <c r="E169" s="122">
        <f>D169*18/118</f>
        <v>0</v>
      </c>
      <c r="F169" s="103">
        <f>SUM(F132:F168)</f>
        <v>3337656</v>
      </c>
      <c r="G169" s="103"/>
    </row>
    <row r="170" spans="1:8" x14ac:dyDescent="0.3">
      <c r="A170" s="95"/>
      <c r="B170" s="119" t="s">
        <v>20</v>
      </c>
      <c r="C170" s="119"/>
      <c r="D170" s="119"/>
      <c r="E170" s="119" t="s">
        <v>39</v>
      </c>
      <c r="F170" s="104" t="s">
        <v>40</v>
      </c>
      <c r="G170" s="104" t="s">
        <v>21</v>
      </c>
    </row>
    <row r="171" spans="1:8" x14ac:dyDescent="0.3">
      <c r="A171" s="95"/>
      <c r="B171" s="102"/>
      <c r="C171" s="101"/>
      <c r="D171" s="102"/>
      <c r="E171" s="102"/>
      <c r="F171" s="103"/>
      <c r="G171" s="103"/>
    </row>
    <row r="172" spans="1:8" x14ac:dyDescent="0.3">
      <c r="A172" s="95"/>
      <c r="B172" s="102" t="s">
        <v>22</v>
      </c>
      <c r="C172" s="102"/>
      <c r="D172" s="102"/>
      <c r="E172" s="103">
        <v>3018699</v>
      </c>
      <c r="F172" s="103"/>
      <c r="G172" s="103"/>
    </row>
    <row r="173" spans="1:8" x14ac:dyDescent="0.3">
      <c r="A173" s="95"/>
      <c r="B173" s="102" t="s">
        <v>23</v>
      </c>
      <c r="C173" s="102"/>
      <c r="D173" s="102"/>
      <c r="E173" s="103">
        <v>275476</v>
      </c>
      <c r="F173" s="103"/>
      <c r="G173" s="103"/>
    </row>
    <row r="174" spans="1:8" x14ac:dyDescent="0.3">
      <c r="A174" s="95"/>
      <c r="B174" s="102"/>
      <c r="C174" s="102"/>
      <c r="D174" s="102"/>
      <c r="E174" s="103"/>
      <c r="F174" s="103"/>
      <c r="G174" s="103"/>
    </row>
    <row r="175" spans="1:8" x14ac:dyDescent="0.3">
      <c r="A175" s="95"/>
      <c r="B175" s="102" t="s">
        <v>24</v>
      </c>
      <c r="C175" s="102"/>
      <c r="D175" s="102"/>
      <c r="E175" s="103">
        <f>SUM(E172:E174)</f>
        <v>3294175</v>
      </c>
      <c r="F175" s="103">
        <f>F169</f>
        <v>3337656</v>
      </c>
      <c r="G175" s="123">
        <f>E175-F175</f>
        <v>-43481</v>
      </c>
      <c r="H175" s="161" t="s">
        <v>170</v>
      </c>
    </row>
    <row r="176" spans="1:8" x14ac:dyDescent="0.3">
      <c r="A176" s="95"/>
      <c r="B176" s="102"/>
      <c r="C176" s="149">
        <v>46106</v>
      </c>
      <c r="D176" s="102"/>
      <c r="E176" s="103"/>
      <c r="F176" s="103"/>
      <c r="G176" s="103"/>
    </row>
    <row r="177" spans="1:8" x14ac:dyDescent="0.3">
      <c r="A177" s="95"/>
      <c r="B177" s="129" t="s">
        <v>25</v>
      </c>
      <c r="C177" s="129"/>
      <c r="D177" s="129"/>
      <c r="E177" s="130">
        <f>G175*118/18</f>
        <v>-285042.11111111112</v>
      </c>
      <c r="F177" s="130" t="s">
        <v>29</v>
      </c>
      <c r="G177" s="130"/>
    </row>
    <row r="178" spans="1:8" x14ac:dyDescent="0.3">
      <c r="A178" s="95"/>
      <c r="B178" s="27"/>
      <c r="C178" s="167" t="s">
        <v>169</v>
      </c>
      <c r="D178" s="27"/>
      <c r="E178" s="25"/>
      <c r="F178" s="35"/>
      <c r="G178" s="35"/>
    </row>
    <row r="179" spans="1:8" x14ac:dyDescent="0.3">
      <c r="A179" s="95" t="s">
        <v>29</v>
      </c>
      <c r="B179" s="26" t="s">
        <v>157</v>
      </c>
      <c r="C179" s="26" t="s">
        <v>158</v>
      </c>
      <c r="D179" s="26" t="s">
        <v>38</v>
      </c>
      <c r="E179" s="26" t="s">
        <v>159</v>
      </c>
      <c r="F179" s="225">
        <v>46097</v>
      </c>
      <c r="G179" s="164">
        <v>127118.64</v>
      </c>
      <c r="H179" s="164">
        <v>22881.360000000001</v>
      </c>
    </row>
    <row r="180" spans="1:8" x14ac:dyDescent="0.3">
      <c r="A180" s="95"/>
      <c r="B180" s="26" t="s">
        <v>160</v>
      </c>
      <c r="C180" s="26" t="s">
        <v>161</v>
      </c>
      <c r="D180" s="26" t="s">
        <v>38</v>
      </c>
      <c r="E180" s="26" t="s">
        <v>162</v>
      </c>
      <c r="F180" s="225">
        <v>46095</v>
      </c>
      <c r="G180" s="164">
        <v>610169.49</v>
      </c>
      <c r="H180" s="164">
        <v>109830.51</v>
      </c>
    </row>
    <row r="181" spans="1:8" x14ac:dyDescent="0.3">
      <c r="A181" s="95"/>
      <c r="B181" s="26" t="s">
        <v>163</v>
      </c>
      <c r="C181" s="26" t="s">
        <v>164</v>
      </c>
      <c r="D181" s="26" t="s">
        <v>38</v>
      </c>
      <c r="E181" s="26" t="s">
        <v>165</v>
      </c>
      <c r="F181" s="225">
        <v>46083</v>
      </c>
      <c r="G181" s="164">
        <v>38983.050000000003</v>
      </c>
      <c r="H181" s="164">
        <v>7016.95</v>
      </c>
    </row>
    <row r="182" spans="1:8" x14ac:dyDescent="0.3">
      <c r="A182" s="95"/>
      <c r="B182" s="26" t="s">
        <v>166</v>
      </c>
      <c r="C182" s="26" t="s">
        <v>61</v>
      </c>
      <c r="D182" s="26" t="s">
        <v>38</v>
      </c>
      <c r="E182" s="26" t="s">
        <v>167</v>
      </c>
      <c r="F182" s="225">
        <v>46083</v>
      </c>
      <c r="G182" s="164">
        <v>72881.36</v>
      </c>
      <c r="H182" s="164">
        <v>13118.64</v>
      </c>
    </row>
    <row r="183" spans="1:8" x14ac:dyDescent="0.3">
      <c r="A183" s="95"/>
      <c r="B183" s="165" t="s">
        <v>83</v>
      </c>
      <c r="C183" s="165" t="s">
        <v>60</v>
      </c>
      <c r="D183" s="165" t="s">
        <v>38</v>
      </c>
      <c r="E183" s="165" t="s">
        <v>168</v>
      </c>
      <c r="F183" s="226">
        <v>46104</v>
      </c>
      <c r="G183" s="166">
        <v>808000</v>
      </c>
      <c r="H183" s="164">
        <v>0</v>
      </c>
    </row>
    <row r="184" spans="1:8" x14ac:dyDescent="0.3">
      <c r="A184" s="95"/>
      <c r="B184" s="27"/>
      <c r="C184" s="27"/>
      <c r="D184" s="27"/>
      <c r="E184" s="25"/>
      <c r="F184" s="35"/>
      <c r="G184" s="35"/>
    </row>
    <row r="185" spans="1:8" x14ac:dyDescent="0.3">
      <c r="A185" s="95"/>
      <c r="B185" s="27"/>
      <c r="C185" s="27"/>
      <c r="D185" s="27"/>
      <c r="E185" s="25"/>
      <c r="F185" s="35"/>
      <c r="G185" s="35"/>
    </row>
    <row r="186" spans="1:8" x14ac:dyDescent="0.3">
      <c r="A186" s="95"/>
      <c r="B186" s="27"/>
      <c r="C186" s="27"/>
      <c r="D186" s="27"/>
      <c r="E186" s="25"/>
      <c r="F186" s="35"/>
      <c r="G186" s="35"/>
    </row>
    <row r="187" spans="1:8" x14ac:dyDescent="0.3">
      <c r="A187" s="95"/>
      <c r="B187" s="25"/>
      <c r="C187" s="27"/>
      <c r="D187" s="27"/>
      <c r="E187" s="25"/>
      <c r="F187" s="35"/>
      <c r="G187" s="35"/>
    </row>
    <row r="188" spans="1:8" x14ac:dyDescent="0.3">
      <c r="A188" s="95"/>
      <c r="B188" s="27"/>
      <c r="C188" s="27"/>
      <c r="D188" s="27"/>
      <c r="E188" s="25"/>
      <c r="F188" s="35"/>
      <c r="G188" s="35"/>
    </row>
    <row r="189" spans="1:8" x14ac:dyDescent="0.3">
      <c r="A189" s="95"/>
      <c r="B189" s="25"/>
      <c r="C189" s="27"/>
      <c r="D189" s="27"/>
      <c r="E189" s="25"/>
      <c r="F189" s="35"/>
      <c r="G189" s="38"/>
    </row>
    <row r="190" spans="1:8" x14ac:dyDescent="0.3">
      <c r="A190" s="95"/>
      <c r="B190" s="25"/>
      <c r="C190" s="25"/>
      <c r="D190" s="25"/>
      <c r="E190" s="25"/>
      <c r="F190" s="35"/>
      <c r="G190" s="38"/>
    </row>
    <row r="191" spans="1:8" x14ac:dyDescent="0.3">
      <c r="A191" s="95"/>
      <c r="B191" s="25"/>
      <c r="C191" s="25"/>
      <c r="D191" s="25"/>
      <c r="E191" s="25"/>
      <c r="F191" s="35"/>
      <c r="G191" s="35"/>
    </row>
    <row r="192" spans="1:8" x14ac:dyDescent="0.3">
      <c r="A192" s="95"/>
      <c r="B192" s="25"/>
      <c r="C192" s="27"/>
      <c r="D192" s="27"/>
      <c r="E192" s="25"/>
      <c r="F192" s="35"/>
      <c r="G192" s="35"/>
    </row>
    <row r="193" spans="1:7" x14ac:dyDescent="0.3">
      <c r="A193" s="95"/>
      <c r="B193" s="25"/>
      <c r="C193" s="27"/>
      <c r="D193" s="27"/>
      <c r="E193" s="25"/>
      <c r="F193" s="35"/>
      <c r="G193" s="35"/>
    </row>
    <row r="194" spans="1:7" x14ac:dyDescent="0.3">
      <c r="A194" s="95"/>
      <c r="B194" s="25"/>
      <c r="C194" s="27"/>
      <c r="D194" s="27"/>
      <c r="E194" s="25"/>
      <c r="F194" s="35"/>
      <c r="G194" s="124"/>
    </row>
    <row r="195" spans="1:7" x14ac:dyDescent="0.3">
      <c r="A195" s="78"/>
      <c r="B195" s="25"/>
      <c r="C195" s="27"/>
      <c r="D195" s="27"/>
      <c r="E195" s="25"/>
      <c r="F195" s="35"/>
      <c r="G195" s="35"/>
    </row>
    <row r="196" spans="1:7" x14ac:dyDescent="0.3">
      <c r="A196" s="78"/>
      <c r="B196" s="25"/>
      <c r="C196" s="27"/>
      <c r="D196" s="27"/>
      <c r="E196" s="25"/>
      <c r="F196" s="35"/>
      <c r="G196" s="35"/>
    </row>
    <row r="197" spans="1:7" x14ac:dyDescent="0.3">
      <c r="A197" s="78"/>
      <c r="B197" s="25"/>
      <c r="C197" s="27"/>
      <c r="D197" s="27"/>
      <c r="E197" s="25"/>
      <c r="F197" s="35"/>
      <c r="G197" s="35"/>
    </row>
    <row r="198" spans="1:7" x14ac:dyDescent="0.3">
      <c r="A198" s="78"/>
      <c r="B198" s="25"/>
      <c r="C198" s="25"/>
      <c r="D198" s="25"/>
      <c r="E198" s="25"/>
      <c r="F198" s="35"/>
      <c r="G198" s="35"/>
    </row>
    <row r="199" spans="1:7" ht="21" x14ac:dyDescent="0.4">
      <c r="A199" s="78"/>
      <c r="B199" s="125"/>
      <c r="C199" s="125"/>
      <c r="D199" s="125"/>
      <c r="E199" s="125"/>
      <c r="F199" s="126"/>
      <c r="G199" s="126"/>
    </row>
    <row r="200" spans="1:7" x14ac:dyDescent="0.3">
      <c r="A200" s="25"/>
      <c r="B200" s="25"/>
      <c r="C200" s="25"/>
      <c r="D200" s="25"/>
      <c r="E200" s="25"/>
      <c r="F200" s="35"/>
      <c r="G200" s="35"/>
    </row>
    <row r="201" spans="1:7" ht="21" x14ac:dyDescent="0.4">
      <c r="A201" s="125"/>
      <c r="B201" s="25"/>
      <c r="C201" s="25"/>
      <c r="D201" s="25"/>
      <c r="E201" s="25"/>
      <c r="F201" s="35"/>
      <c r="G201" s="35"/>
    </row>
    <row r="202" spans="1:7" x14ac:dyDescent="0.3">
      <c r="A202" s="78"/>
      <c r="B202" s="25"/>
      <c r="C202" s="25"/>
      <c r="D202" s="25"/>
      <c r="E202" s="25"/>
      <c r="F202" s="35"/>
      <c r="G202" s="35"/>
    </row>
    <row r="203" spans="1:7" x14ac:dyDescent="0.3">
      <c r="A203" s="78"/>
      <c r="B203" s="25"/>
      <c r="C203" s="25"/>
      <c r="D203" s="25"/>
      <c r="E203" s="25"/>
      <c r="F203" s="35"/>
      <c r="G203" s="35"/>
    </row>
    <row r="204" spans="1:7" x14ac:dyDescent="0.3">
      <c r="A204" s="78"/>
      <c r="B204" s="25"/>
      <c r="C204" s="25"/>
      <c r="D204" s="25"/>
      <c r="E204" s="25"/>
      <c r="F204" s="35"/>
      <c r="G204" s="35"/>
    </row>
    <row r="205" spans="1:7" x14ac:dyDescent="0.3">
      <c r="A205" s="78"/>
      <c r="B205" s="25"/>
      <c r="C205" s="25"/>
      <c r="D205" s="25"/>
      <c r="E205" s="25"/>
      <c r="F205" s="35"/>
      <c r="G205" s="35"/>
    </row>
    <row r="206" spans="1:7" x14ac:dyDescent="0.3">
      <c r="A206" s="78"/>
      <c r="B206" s="25"/>
      <c r="C206" s="25"/>
      <c r="D206" s="25"/>
      <c r="E206" s="25"/>
      <c r="F206" s="35"/>
      <c r="G206" s="35"/>
    </row>
    <row r="207" spans="1:7" x14ac:dyDescent="0.3">
      <c r="A207" s="78"/>
      <c r="B207" s="25"/>
      <c r="C207" s="25"/>
      <c r="D207" s="25"/>
      <c r="E207" s="25"/>
      <c r="F207" s="35"/>
      <c r="G207" s="35"/>
    </row>
    <row r="208" spans="1:7" x14ac:dyDescent="0.3">
      <c r="A208" s="78"/>
      <c r="B208" s="25"/>
      <c r="C208" s="25"/>
      <c r="D208" s="25"/>
      <c r="E208" s="25"/>
      <c r="F208" s="35"/>
      <c r="G208" s="35"/>
    </row>
    <row r="209" spans="1:7" x14ac:dyDescent="0.3">
      <c r="A209" s="25"/>
      <c r="B209" s="25"/>
      <c r="C209" s="25"/>
      <c r="D209" s="25"/>
      <c r="E209" s="25"/>
      <c r="F209" s="35"/>
      <c r="G209" s="35"/>
    </row>
    <row r="210" spans="1:7" x14ac:dyDescent="0.3">
      <c r="A210" s="25"/>
      <c r="B210" s="25"/>
      <c r="C210" s="25"/>
      <c r="D210" s="25"/>
      <c r="E210" s="25"/>
      <c r="F210" s="35"/>
      <c r="G210" s="35"/>
    </row>
    <row r="211" spans="1:7" x14ac:dyDescent="0.3">
      <c r="A211" s="25"/>
      <c r="B211" s="25"/>
      <c r="C211" s="25"/>
      <c r="D211" s="25"/>
      <c r="E211" s="35"/>
      <c r="F211" s="35"/>
      <c r="G211" s="35"/>
    </row>
    <row r="212" spans="1:7" x14ac:dyDescent="0.3">
      <c r="A212" s="25"/>
      <c r="B212" s="25"/>
      <c r="C212" s="25"/>
      <c r="D212" s="127"/>
      <c r="E212" s="35"/>
      <c r="F212" s="35"/>
      <c r="G212" s="35"/>
    </row>
    <row r="213" spans="1:7" x14ac:dyDescent="0.3">
      <c r="A213" s="25"/>
      <c r="B213" s="25"/>
      <c r="C213" s="25"/>
      <c r="D213" s="127"/>
      <c r="E213" s="35"/>
      <c r="F213" s="35"/>
      <c r="G213" s="35"/>
    </row>
    <row r="214" spans="1:7" x14ac:dyDescent="0.3">
      <c r="A214" s="25"/>
      <c r="B214" s="25"/>
      <c r="C214" s="25"/>
      <c r="D214" s="25"/>
      <c r="E214" s="25"/>
      <c r="F214" s="35"/>
      <c r="G214" s="35"/>
    </row>
    <row r="215" spans="1:7" x14ac:dyDescent="0.3">
      <c r="A215" s="25"/>
      <c r="B215" s="27"/>
      <c r="C215" s="27"/>
      <c r="D215" s="27"/>
      <c r="E215" s="27"/>
      <c r="F215" s="38"/>
      <c r="G215" s="38"/>
    </row>
    <row r="216" spans="1:7" x14ac:dyDescent="0.3">
      <c r="A216" s="25"/>
      <c r="B216" s="27"/>
      <c r="C216" s="27"/>
      <c r="D216" s="27"/>
      <c r="E216" s="27"/>
      <c r="F216" s="38"/>
      <c r="G216" s="38"/>
    </row>
    <row r="217" spans="1:7" x14ac:dyDescent="0.3">
      <c r="A217" s="25"/>
      <c r="B217" s="27"/>
      <c r="C217" s="27"/>
      <c r="D217" s="27"/>
      <c r="E217" s="38"/>
      <c r="F217" s="38"/>
      <c r="G217" s="38"/>
    </row>
    <row r="218" spans="1:7" x14ac:dyDescent="0.3">
      <c r="A218" s="25"/>
      <c r="B218" s="27"/>
      <c r="C218" s="27"/>
      <c r="D218" s="27"/>
      <c r="E218" s="38"/>
      <c r="F218" s="38"/>
      <c r="G218" s="38"/>
    </row>
    <row r="219" spans="1:7" x14ac:dyDescent="0.3">
      <c r="A219" s="25"/>
      <c r="B219" s="27"/>
      <c r="C219" s="27"/>
      <c r="D219" s="27"/>
      <c r="E219" s="38"/>
      <c r="F219" s="38"/>
      <c r="G219" s="38"/>
    </row>
    <row r="220" spans="1:7" x14ac:dyDescent="0.3">
      <c r="A220" s="25"/>
      <c r="B220" s="27"/>
      <c r="C220" s="27"/>
      <c r="D220" s="27"/>
      <c r="E220" s="38"/>
      <c r="F220" s="38"/>
      <c r="G220" s="38"/>
    </row>
    <row r="221" spans="1:7" x14ac:dyDescent="0.3">
      <c r="A221" s="25"/>
      <c r="B221" s="27"/>
      <c r="C221" s="27"/>
      <c r="D221" s="27"/>
      <c r="E221" s="38"/>
      <c r="F221" s="38"/>
      <c r="G221" s="38"/>
    </row>
    <row r="222" spans="1:7" x14ac:dyDescent="0.3">
      <c r="A222" s="25"/>
      <c r="B222" s="27"/>
      <c r="C222" s="27"/>
      <c r="D222" s="27"/>
      <c r="E222" s="38"/>
      <c r="F222" s="38"/>
      <c r="G222" s="38"/>
    </row>
    <row r="223" spans="1:7" x14ac:dyDescent="0.3">
      <c r="A223" s="25"/>
      <c r="B223" s="27"/>
      <c r="C223" s="27"/>
      <c r="D223" s="27"/>
      <c r="E223" s="27"/>
      <c r="F223" s="38"/>
      <c r="G223" s="38"/>
    </row>
    <row r="224" spans="1:7" x14ac:dyDescent="0.3">
      <c r="A224" s="25"/>
      <c r="B224" s="27"/>
      <c r="C224" s="27"/>
      <c r="D224" s="27"/>
      <c r="E224" s="27"/>
      <c r="F224" s="38"/>
      <c r="G224" s="38"/>
    </row>
    <row r="225" spans="1:7" x14ac:dyDescent="0.3">
      <c r="A225" s="25"/>
      <c r="B225" s="27"/>
      <c r="C225" s="27"/>
      <c r="D225" s="27"/>
      <c r="E225" s="27"/>
      <c r="F225" s="38"/>
      <c r="G225" s="38"/>
    </row>
    <row r="226" spans="1:7" x14ac:dyDescent="0.3">
      <c r="A226" s="25"/>
      <c r="B226" s="25"/>
      <c r="C226" s="25"/>
      <c r="D226" s="25"/>
      <c r="E226" s="25"/>
      <c r="F226" s="40"/>
      <c r="G226" s="35"/>
    </row>
    <row r="227" spans="1:7" x14ac:dyDescent="0.3">
      <c r="A227" s="25"/>
      <c r="B227" s="25"/>
      <c r="C227" s="25"/>
      <c r="D227" s="25"/>
      <c r="E227" s="25"/>
      <c r="F227" s="35"/>
      <c r="G227" s="35"/>
    </row>
    <row r="228" spans="1:7" x14ac:dyDescent="0.3">
      <c r="A228" s="25"/>
      <c r="B228" s="25"/>
      <c r="C228" s="25"/>
      <c r="D228" s="25"/>
      <c r="E228" s="25"/>
      <c r="F228" s="35"/>
      <c r="G228" s="35"/>
    </row>
    <row r="229" spans="1:7" x14ac:dyDescent="0.3">
      <c r="A229" s="25"/>
      <c r="B229" s="25"/>
      <c r="C229" s="25"/>
      <c r="D229" s="25"/>
      <c r="E229" s="25"/>
      <c r="F229" s="35"/>
      <c r="G229" s="35"/>
    </row>
    <row r="230" spans="1:7" ht="21" x14ac:dyDescent="0.4">
      <c r="A230" s="25"/>
      <c r="B230" s="125"/>
      <c r="C230" s="125"/>
      <c r="D230" s="125"/>
      <c r="E230" s="125"/>
      <c r="F230" s="125"/>
      <c r="G230" s="126"/>
    </row>
    <row r="231" spans="1:7" x14ac:dyDescent="0.3">
      <c r="A231" s="25"/>
      <c r="B231" s="25"/>
      <c r="C231" s="25"/>
      <c r="D231" s="25"/>
      <c r="E231" s="25"/>
      <c r="F231" s="25"/>
      <c r="G231" s="38"/>
    </row>
    <row r="232" spans="1:7" ht="21" x14ac:dyDescent="0.4">
      <c r="A232" s="125"/>
      <c r="B232" s="25"/>
      <c r="C232" s="25"/>
      <c r="D232" s="25"/>
      <c r="E232" s="25"/>
      <c r="F232" s="25"/>
      <c r="G232" s="38"/>
    </row>
    <row r="233" spans="1:7" x14ac:dyDescent="0.3">
      <c r="A233" s="78"/>
      <c r="B233" s="25"/>
      <c r="C233" s="25"/>
      <c r="D233" s="25"/>
      <c r="E233" s="25"/>
      <c r="F233" s="25"/>
      <c r="G233" s="38"/>
    </row>
    <row r="234" spans="1:7" x14ac:dyDescent="0.3">
      <c r="A234" s="78"/>
      <c r="B234" s="25"/>
      <c r="C234" s="25"/>
      <c r="D234" s="25"/>
      <c r="E234" s="25"/>
      <c r="F234" s="25"/>
      <c r="G234" s="35"/>
    </row>
    <row r="235" spans="1:7" x14ac:dyDescent="0.3">
      <c r="A235" s="78"/>
      <c r="B235" s="25"/>
      <c r="C235" s="25"/>
      <c r="D235" s="25"/>
      <c r="E235" s="25"/>
      <c r="F235" s="25"/>
      <c r="G235" s="38"/>
    </row>
    <row r="236" spans="1:7" x14ac:dyDescent="0.3">
      <c r="A236" s="78"/>
      <c r="B236" s="25"/>
      <c r="C236" s="25"/>
      <c r="D236" s="25"/>
      <c r="E236" s="25"/>
      <c r="F236" s="25"/>
      <c r="G236" s="38"/>
    </row>
    <row r="237" spans="1:7" x14ac:dyDescent="0.3">
      <c r="A237" s="78"/>
      <c r="B237" s="25"/>
      <c r="C237" s="25"/>
      <c r="D237" s="25"/>
      <c r="E237" s="25"/>
      <c r="F237" s="25"/>
      <c r="G237" s="35"/>
    </row>
    <row r="238" spans="1:7" x14ac:dyDescent="0.3">
      <c r="A238" s="78"/>
      <c r="B238" s="25"/>
      <c r="C238" s="25"/>
      <c r="D238" s="25"/>
      <c r="E238" s="25"/>
      <c r="F238" s="25"/>
      <c r="G238" s="38"/>
    </row>
    <row r="239" spans="1:7" x14ac:dyDescent="0.3">
      <c r="A239" s="78"/>
      <c r="B239" s="25"/>
      <c r="C239" s="25"/>
      <c r="D239" s="25"/>
      <c r="E239" s="25"/>
      <c r="F239" s="25"/>
      <c r="G239" s="38"/>
    </row>
    <row r="240" spans="1:7" x14ac:dyDescent="0.3">
      <c r="A240" s="78"/>
      <c r="B240" s="25"/>
      <c r="C240" s="25"/>
      <c r="D240" s="25"/>
      <c r="E240" s="25"/>
      <c r="F240" s="25"/>
      <c r="G240" s="38"/>
    </row>
    <row r="241" spans="1:7" x14ac:dyDescent="0.3">
      <c r="A241" s="78"/>
      <c r="B241" s="25"/>
      <c r="C241" s="25"/>
      <c r="D241" s="25"/>
      <c r="E241" s="25"/>
      <c r="F241" s="25"/>
      <c r="G241" s="38"/>
    </row>
    <row r="242" spans="1:7" x14ac:dyDescent="0.3">
      <c r="A242" s="78"/>
      <c r="B242" s="25"/>
      <c r="C242" s="25"/>
      <c r="D242" s="25"/>
      <c r="E242" s="25"/>
      <c r="F242" s="25"/>
      <c r="G242" s="38"/>
    </row>
    <row r="243" spans="1:7" x14ac:dyDescent="0.3">
      <c r="A243" s="78"/>
      <c r="B243" s="25"/>
      <c r="C243" s="25"/>
      <c r="D243" s="25"/>
      <c r="E243" s="25"/>
      <c r="F243" s="25"/>
      <c r="G243" s="38"/>
    </row>
    <row r="244" spans="1:7" x14ac:dyDescent="0.3">
      <c r="A244" s="78"/>
      <c r="B244" s="25"/>
      <c r="C244" s="25"/>
      <c r="D244" s="25"/>
      <c r="E244" s="25"/>
      <c r="F244" s="25"/>
      <c r="G244" s="38"/>
    </row>
    <row r="245" spans="1:7" x14ac:dyDescent="0.3">
      <c r="A245" s="78"/>
      <c r="B245" s="25"/>
      <c r="C245" s="25"/>
      <c r="D245" s="25"/>
      <c r="E245" s="25"/>
      <c r="F245" s="25"/>
      <c r="G245" s="38"/>
    </row>
    <row r="246" spans="1:7" x14ac:dyDescent="0.3">
      <c r="A246" s="78"/>
      <c r="B246" s="25"/>
      <c r="C246" s="25"/>
      <c r="D246" s="25"/>
      <c r="E246" s="25"/>
      <c r="F246" s="25"/>
      <c r="G246" s="38"/>
    </row>
    <row r="247" spans="1:7" x14ac:dyDescent="0.3">
      <c r="A247" s="78"/>
      <c r="B247" s="25"/>
      <c r="C247" s="25"/>
      <c r="D247" s="25"/>
      <c r="E247" s="25"/>
      <c r="F247" s="25"/>
      <c r="G247" s="38"/>
    </row>
    <row r="248" spans="1:7" x14ac:dyDescent="0.3">
      <c r="A248" s="78"/>
      <c r="B248" s="25"/>
      <c r="C248" s="25"/>
      <c r="D248" s="25"/>
      <c r="E248" s="25"/>
      <c r="F248" s="25"/>
      <c r="G248" s="38"/>
    </row>
    <row r="249" spans="1:7" x14ac:dyDescent="0.3">
      <c r="A249" s="78"/>
      <c r="B249" s="25"/>
      <c r="C249" s="25"/>
      <c r="D249" s="25"/>
      <c r="E249" s="25"/>
      <c r="F249" s="25"/>
      <c r="G249" s="38"/>
    </row>
    <row r="250" spans="1:7" x14ac:dyDescent="0.3">
      <c r="A250" s="78"/>
      <c r="B250" s="25"/>
      <c r="C250" s="25"/>
      <c r="D250" s="25"/>
      <c r="E250" s="25"/>
      <c r="F250" s="25"/>
      <c r="G250" s="38"/>
    </row>
    <row r="251" spans="1:7" x14ac:dyDescent="0.3">
      <c r="A251" s="78"/>
      <c r="B251" s="25"/>
      <c r="C251" s="25"/>
      <c r="D251" s="25"/>
      <c r="E251" s="25"/>
      <c r="F251" s="25"/>
      <c r="G251" s="38"/>
    </row>
    <row r="252" spans="1:7" x14ac:dyDescent="0.3">
      <c r="A252" s="78"/>
      <c r="B252" s="25"/>
      <c r="C252" s="25"/>
      <c r="D252" s="25"/>
      <c r="E252" s="25"/>
      <c r="F252" s="25"/>
      <c r="G252" s="38"/>
    </row>
    <row r="253" spans="1:7" x14ac:dyDescent="0.3">
      <c r="A253" s="78"/>
      <c r="B253" s="25"/>
      <c r="C253" s="25"/>
      <c r="D253" s="25"/>
      <c r="E253" s="25"/>
      <c r="F253" s="25"/>
      <c r="G253" s="38"/>
    </row>
    <row r="254" spans="1:7" x14ac:dyDescent="0.3">
      <c r="A254" s="78"/>
      <c r="B254" s="25"/>
      <c r="C254" s="25"/>
      <c r="D254" s="25"/>
      <c r="E254" s="25"/>
      <c r="F254" s="25"/>
      <c r="G254" s="38"/>
    </row>
    <row r="255" spans="1:7" x14ac:dyDescent="0.3">
      <c r="A255" s="78"/>
      <c r="B255" s="25"/>
      <c r="C255" s="25"/>
      <c r="D255" s="25"/>
      <c r="E255" s="25"/>
      <c r="F255" s="25"/>
      <c r="G255" s="38"/>
    </row>
    <row r="256" spans="1:7" x14ac:dyDescent="0.3">
      <c r="A256" s="78"/>
      <c r="B256" s="25"/>
      <c r="C256" s="25"/>
      <c r="D256" s="25"/>
      <c r="E256" s="25"/>
      <c r="F256" s="25"/>
      <c r="G256" s="38"/>
    </row>
    <row r="257" spans="1:7" x14ac:dyDescent="0.3">
      <c r="A257" s="78"/>
      <c r="B257" s="25"/>
      <c r="C257" s="25"/>
      <c r="D257" s="25"/>
      <c r="E257" s="25"/>
      <c r="F257" s="25"/>
      <c r="G257" s="38"/>
    </row>
    <row r="258" spans="1:7" x14ac:dyDescent="0.3">
      <c r="A258" s="78"/>
      <c r="B258" s="25"/>
      <c r="C258" s="25"/>
      <c r="D258" s="25"/>
      <c r="E258" s="25"/>
      <c r="F258" s="25"/>
      <c r="G258" s="35"/>
    </row>
    <row r="259" spans="1:7" x14ac:dyDescent="0.3">
      <c r="A259" s="78"/>
      <c r="B259" s="25"/>
      <c r="C259" s="25"/>
      <c r="D259" s="25"/>
      <c r="E259" s="25"/>
      <c r="F259" s="25"/>
      <c r="G259" s="35"/>
    </row>
    <row r="260" spans="1:7" x14ac:dyDescent="0.3">
      <c r="A260" s="78"/>
      <c r="B260" s="25"/>
      <c r="C260" s="25"/>
      <c r="D260" s="25"/>
      <c r="E260" s="25"/>
      <c r="F260" s="25"/>
      <c r="G260" s="35"/>
    </row>
    <row r="261" spans="1:7" x14ac:dyDescent="0.3">
      <c r="A261" s="78"/>
      <c r="B261" s="25"/>
      <c r="C261" s="25"/>
      <c r="D261" s="25"/>
      <c r="E261" s="25"/>
      <c r="F261" s="25"/>
      <c r="G261" s="35"/>
    </row>
    <row r="262" spans="1:7" x14ac:dyDescent="0.3">
      <c r="A262" s="78"/>
      <c r="B262" s="25"/>
      <c r="C262" s="25"/>
      <c r="D262" s="25"/>
      <c r="E262" s="25"/>
      <c r="F262" s="25"/>
      <c r="G262" s="35"/>
    </row>
    <row r="263" spans="1:7" x14ac:dyDescent="0.3">
      <c r="A263" s="78"/>
      <c r="B263" s="25"/>
      <c r="C263" s="25"/>
      <c r="D263" s="25"/>
      <c r="E263" s="25"/>
      <c r="F263" s="25"/>
      <c r="G263" s="35"/>
    </row>
    <row r="264" spans="1:7" x14ac:dyDescent="0.3">
      <c r="A264" s="78"/>
      <c r="B264" s="25"/>
      <c r="C264" s="25"/>
      <c r="D264" s="25"/>
      <c r="E264" s="25"/>
      <c r="F264" s="25"/>
      <c r="G264" s="35"/>
    </row>
    <row r="265" spans="1:7" x14ac:dyDescent="0.3">
      <c r="A265" s="78"/>
      <c r="B265" s="25"/>
      <c r="C265" s="25"/>
      <c r="D265" s="25"/>
      <c r="E265" s="25"/>
      <c r="F265" s="25"/>
      <c r="G265" s="35"/>
    </row>
    <row r="266" spans="1:7" x14ac:dyDescent="0.3">
      <c r="A266" s="128"/>
      <c r="B266" s="25"/>
      <c r="C266" s="25"/>
      <c r="D266" s="25"/>
      <c r="E266" s="25"/>
      <c r="F266" s="25"/>
      <c r="G266" s="35"/>
    </row>
    <row r="267" spans="1:7" x14ac:dyDescent="0.3">
      <c r="A267" s="95"/>
      <c r="B267" s="25"/>
      <c r="C267" s="25"/>
      <c r="D267" s="25"/>
      <c r="E267" s="25"/>
      <c r="F267" s="25"/>
      <c r="G267" s="35"/>
    </row>
    <row r="268" spans="1:7" x14ac:dyDescent="0.3">
      <c r="A268" s="95"/>
      <c r="B268" s="25"/>
      <c r="C268" s="25"/>
      <c r="D268" s="25"/>
      <c r="E268" s="25"/>
      <c r="F268" s="25"/>
      <c r="G268" s="35"/>
    </row>
    <row r="269" spans="1:7" x14ac:dyDescent="0.3">
      <c r="A269" s="95"/>
      <c r="B269" s="25"/>
      <c r="C269" s="25"/>
      <c r="D269" s="25"/>
      <c r="E269" s="25"/>
      <c r="F269" s="25"/>
      <c r="G269" s="35"/>
    </row>
    <row r="270" spans="1:7" x14ac:dyDescent="0.3">
      <c r="A270" s="95"/>
      <c r="B270" s="25"/>
      <c r="C270" s="25"/>
      <c r="D270" s="25"/>
      <c r="E270" s="25"/>
      <c r="F270" s="25"/>
      <c r="G270" s="35"/>
    </row>
    <row r="271" spans="1:7" x14ac:dyDescent="0.3">
      <c r="A271" s="95"/>
      <c r="B271" s="25"/>
      <c r="C271" s="25"/>
      <c r="D271" s="25"/>
      <c r="E271" s="25"/>
      <c r="F271" s="25"/>
      <c r="G271" s="35"/>
    </row>
    <row r="272" spans="1:7" x14ac:dyDescent="0.3">
      <c r="A272" s="95"/>
      <c r="B272" s="25"/>
      <c r="C272" s="25"/>
      <c r="D272" s="25"/>
      <c r="E272" s="25"/>
      <c r="F272" s="25"/>
      <c r="G272" s="35"/>
    </row>
    <row r="273" spans="1:7" x14ac:dyDescent="0.3">
      <c r="A273" s="78"/>
      <c r="B273" s="25"/>
      <c r="C273" s="25"/>
      <c r="D273" s="25"/>
      <c r="E273" s="25"/>
      <c r="F273" s="25"/>
      <c r="G273" s="35"/>
    </row>
    <row r="274" spans="1:7" x14ac:dyDescent="0.3">
      <c r="A274" s="78"/>
      <c r="B274" s="25"/>
      <c r="C274" s="25"/>
      <c r="D274" s="25"/>
      <c r="E274" s="25"/>
      <c r="F274" s="25"/>
      <c r="G274" s="35"/>
    </row>
    <row r="275" spans="1:7" x14ac:dyDescent="0.3">
      <c r="A275" s="78"/>
      <c r="B275" s="25"/>
      <c r="C275" s="25"/>
      <c r="D275" s="25"/>
      <c r="E275" s="25"/>
      <c r="F275" s="25"/>
      <c r="G275" s="35"/>
    </row>
    <row r="276" spans="1:7" x14ac:dyDescent="0.3">
      <c r="A276" s="78"/>
      <c r="B276" s="25"/>
      <c r="C276" s="25"/>
      <c r="D276" s="25"/>
      <c r="E276" s="25"/>
      <c r="F276" s="25"/>
      <c r="G276" s="35"/>
    </row>
    <row r="277" spans="1:7" x14ac:dyDescent="0.3">
      <c r="A277" s="78"/>
      <c r="B277" s="25"/>
      <c r="C277" s="25"/>
      <c r="D277" s="25"/>
      <c r="E277" s="25"/>
      <c r="F277" s="25"/>
      <c r="G277" s="35"/>
    </row>
    <row r="278" spans="1:7" x14ac:dyDescent="0.3">
      <c r="A278" s="78"/>
      <c r="B278" s="25"/>
      <c r="C278" s="25"/>
      <c r="D278" s="25"/>
      <c r="E278" s="25"/>
      <c r="F278" s="25"/>
      <c r="G278" s="35"/>
    </row>
    <row r="279" spans="1:7" x14ac:dyDescent="0.3">
      <c r="A279" s="78"/>
      <c r="B279" s="25"/>
      <c r="C279" s="25"/>
      <c r="D279" s="25"/>
      <c r="E279" s="25"/>
      <c r="F279" s="25"/>
      <c r="G279" s="35"/>
    </row>
    <row r="280" spans="1:7" x14ac:dyDescent="0.3">
      <c r="A280" s="78"/>
      <c r="B280" s="25"/>
      <c r="C280" s="25"/>
      <c r="D280" s="25"/>
      <c r="E280" s="25"/>
      <c r="F280" s="25"/>
      <c r="G280" s="35"/>
    </row>
    <row r="281" spans="1:7" x14ac:dyDescent="0.3">
      <c r="A281" s="78"/>
      <c r="B281" s="25"/>
      <c r="C281" s="25"/>
      <c r="D281" s="25"/>
      <c r="E281" s="25"/>
      <c r="F281" s="25"/>
      <c r="G281" s="35"/>
    </row>
    <row r="282" spans="1:7" x14ac:dyDescent="0.3">
      <c r="A282" s="78"/>
      <c r="B282" s="25"/>
      <c r="C282" s="25"/>
      <c r="D282" s="25"/>
      <c r="E282" s="25"/>
      <c r="F282" s="25"/>
      <c r="G282" s="35"/>
    </row>
    <row r="283" spans="1:7" x14ac:dyDescent="0.3">
      <c r="A283" s="78"/>
      <c r="B283" s="25"/>
      <c r="C283" s="25"/>
      <c r="D283" s="25"/>
      <c r="E283" s="25"/>
      <c r="F283" s="25"/>
      <c r="G283" s="35"/>
    </row>
    <row r="284" spans="1:7" x14ac:dyDescent="0.3">
      <c r="A284" s="78"/>
      <c r="B284" s="25"/>
      <c r="C284" s="25"/>
      <c r="D284" s="25"/>
      <c r="E284" s="25"/>
      <c r="F284" s="25"/>
      <c r="G284" s="35"/>
    </row>
    <row r="285" spans="1:7" x14ac:dyDescent="0.3">
      <c r="A285" s="78"/>
      <c r="B285" s="25"/>
      <c r="C285" s="25"/>
      <c r="D285" s="25"/>
      <c r="E285" s="25"/>
      <c r="F285" s="25"/>
      <c r="G285" s="35"/>
    </row>
    <row r="286" spans="1:7" x14ac:dyDescent="0.3">
      <c r="A286" s="78"/>
      <c r="B286" s="25"/>
      <c r="C286" s="25"/>
      <c r="D286" s="25"/>
      <c r="E286" s="25"/>
      <c r="F286" s="25"/>
      <c r="G286" s="35"/>
    </row>
    <row r="287" spans="1:7" x14ac:dyDescent="0.3">
      <c r="A287" s="78"/>
      <c r="B287" s="25"/>
      <c r="C287" s="25"/>
      <c r="D287" s="25"/>
      <c r="E287" s="25"/>
      <c r="F287" s="25"/>
      <c r="G287" s="35"/>
    </row>
    <row r="288" spans="1:7" x14ac:dyDescent="0.3">
      <c r="A288" s="78"/>
      <c r="B288" s="25"/>
      <c r="C288" s="25"/>
      <c r="D288" s="25"/>
      <c r="E288" s="25"/>
      <c r="F288" s="25"/>
      <c r="G288" s="35"/>
    </row>
    <row r="289" spans="1:7" x14ac:dyDescent="0.3">
      <c r="A289" s="78"/>
      <c r="B289" s="25"/>
      <c r="C289" s="25"/>
      <c r="D289" s="25"/>
      <c r="E289" s="25"/>
      <c r="F289" s="25"/>
      <c r="G289" s="35"/>
    </row>
    <row r="290" spans="1:7" x14ac:dyDescent="0.3">
      <c r="A290" s="78"/>
      <c r="B290" s="25"/>
      <c r="C290" s="25"/>
      <c r="D290" s="25"/>
      <c r="E290" s="25"/>
      <c r="F290" s="25"/>
      <c r="G290" s="35"/>
    </row>
    <row r="291" spans="1:7" x14ac:dyDescent="0.3">
      <c r="A291" s="78"/>
      <c r="B291" s="25"/>
      <c r="C291" s="25"/>
      <c r="D291" s="25"/>
      <c r="E291" s="25"/>
      <c r="F291" s="25"/>
      <c r="G291" s="35"/>
    </row>
    <row r="292" spans="1:7" x14ac:dyDescent="0.3">
      <c r="A292" s="78"/>
      <c r="B292" s="25"/>
      <c r="C292" s="25"/>
      <c r="D292" s="25"/>
      <c r="E292" s="25"/>
      <c r="F292" s="25"/>
      <c r="G292" s="35"/>
    </row>
    <row r="293" spans="1:7" x14ac:dyDescent="0.3">
      <c r="A293" s="78"/>
      <c r="B293" s="25"/>
      <c r="C293" s="25"/>
      <c r="D293" s="25"/>
      <c r="E293" s="25"/>
      <c r="F293" s="25"/>
      <c r="G293" s="35"/>
    </row>
    <row r="294" spans="1:7" x14ac:dyDescent="0.3">
      <c r="A294" s="78"/>
      <c r="B294" s="25"/>
      <c r="C294" s="25"/>
      <c r="D294" s="25"/>
      <c r="E294" s="25"/>
      <c r="F294" s="25"/>
      <c r="G294" s="35"/>
    </row>
    <row r="295" spans="1:7" x14ac:dyDescent="0.3">
      <c r="A295" s="78"/>
      <c r="B295" s="25"/>
      <c r="C295" s="25"/>
      <c r="D295" s="25"/>
      <c r="E295" s="25"/>
      <c r="F295" s="25"/>
      <c r="G295" s="35"/>
    </row>
    <row r="296" spans="1:7" x14ac:dyDescent="0.3">
      <c r="A296" s="78"/>
      <c r="B296" s="25"/>
      <c r="C296" s="25"/>
      <c r="D296" s="25"/>
      <c r="E296" s="25"/>
      <c r="F296" s="25"/>
      <c r="G296" s="35"/>
    </row>
    <row r="297" spans="1:7" x14ac:dyDescent="0.3">
      <c r="A297" s="78"/>
      <c r="B297" s="25"/>
      <c r="C297" s="25"/>
      <c r="D297" s="25"/>
      <c r="E297" s="25"/>
      <c r="F297" s="25"/>
      <c r="G297" s="35"/>
    </row>
    <row r="298" spans="1:7" x14ac:dyDescent="0.3">
      <c r="A298" s="78"/>
      <c r="B298" s="25"/>
      <c r="C298" s="25"/>
      <c r="D298" s="25"/>
      <c r="E298" s="25"/>
      <c r="F298" s="25"/>
      <c r="G298" s="35"/>
    </row>
    <row r="299" spans="1:7" x14ac:dyDescent="0.3">
      <c r="A299" s="78"/>
      <c r="B299" s="25"/>
      <c r="C299" s="25"/>
      <c r="D299" s="25"/>
      <c r="E299" s="25"/>
      <c r="F299" s="25"/>
      <c r="G299" s="35"/>
    </row>
    <row r="300" spans="1:7" x14ac:dyDescent="0.3">
      <c r="A300" s="78"/>
      <c r="B300" s="25"/>
      <c r="C300" s="25"/>
      <c r="D300" s="25"/>
      <c r="E300" s="25"/>
      <c r="F300" s="25"/>
      <c r="G300" s="35"/>
    </row>
    <row r="301" spans="1:7" x14ac:dyDescent="0.3">
      <c r="A301" s="78"/>
      <c r="F301"/>
    </row>
    <row r="302" spans="1:7" x14ac:dyDescent="0.3">
      <c r="A302" s="25"/>
      <c r="F302"/>
      <c r="G302" s="32">
        <f>SUM(G231:G301)</f>
        <v>0</v>
      </c>
    </row>
    <row r="303" spans="1:7" x14ac:dyDescent="0.3">
      <c r="F303"/>
    </row>
  </sheetData>
  <sortState xmlns:xlrd2="http://schemas.microsoft.com/office/spreadsheetml/2017/richdata2" ref="B74:G117">
    <sortCondition descending="1" ref="F74:F117"/>
  </sortState>
  <pageMargins left="0.70866141732283472" right="0.70866141732283472" top="0.74803149606299213" bottom="0.74803149606299213" header="0.31496062992125984" footer="0.31496062992125984"/>
  <pageSetup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73"/>
  <sheetViews>
    <sheetView zoomScale="101" workbookViewId="0">
      <selection activeCell="D27" sqref="D27"/>
    </sheetView>
  </sheetViews>
  <sheetFormatPr defaultRowHeight="14.4" x14ac:dyDescent="0.3"/>
  <cols>
    <col min="2" max="2" width="9" style="8" bestFit="1" customWidth="1"/>
    <col min="3" max="3" width="11.33203125" style="8" customWidth="1"/>
    <col min="4" max="4" width="10.6640625" style="8" bestFit="1" customWidth="1"/>
    <col min="5" max="5" width="12.109375" style="8" customWidth="1"/>
    <col min="6" max="7" width="12.21875" style="8" customWidth="1"/>
    <col min="8" max="8" width="12.21875" customWidth="1"/>
    <col min="10" max="10" width="15.77734375" customWidth="1"/>
    <col min="11" max="11" width="13.33203125" customWidth="1"/>
    <col min="12" max="12" width="22.33203125" customWidth="1"/>
    <col min="13" max="13" width="20.21875" customWidth="1"/>
    <col min="14" max="14" width="11.33203125" bestFit="1" customWidth="1"/>
  </cols>
  <sheetData>
    <row r="2" spans="1:17" x14ac:dyDescent="0.3">
      <c r="K2" s="2" t="s">
        <v>49</v>
      </c>
    </row>
    <row r="4" spans="1:17" x14ac:dyDescent="0.3">
      <c r="D4" s="33"/>
      <c r="J4" s="41" t="s">
        <v>50</v>
      </c>
      <c r="K4" s="41" t="s">
        <v>51</v>
      </c>
      <c r="L4" s="41" t="s">
        <v>46</v>
      </c>
      <c r="M4" s="41" t="s">
        <v>52</v>
      </c>
      <c r="N4" s="41"/>
      <c r="O4" s="41"/>
      <c r="P4" s="41"/>
      <c r="Q4" s="41"/>
    </row>
    <row r="5" spans="1:17" x14ac:dyDescent="0.3">
      <c r="J5" s="5">
        <v>46031</v>
      </c>
      <c r="K5" s="1"/>
      <c r="L5" s="1" t="s">
        <v>182</v>
      </c>
      <c r="M5" s="1">
        <v>435000</v>
      </c>
      <c r="N5" s="43"/>
      <c r="O5" s="1"/>
      <c r="P5" s="1"/>
      <c r="Q5" s="1"/>
    </row>
    <row r="6" spans="1:17" x14ac:dyDescent="0.3">
      <c r="C6" s="8" t="s">
        <v>33</v>
      </c>
      <c r="J6" s="36">
        <v>46032</v>
      </c>
      <c r="K6" s="37" t="s">
        <v>53</v>
      </c>
      <c r="L6" s="37" t="s">
        <v>183</v>
      </c>
      <c r="M6" s="37">
        <v>15000</v>
      </c>
      <c r="N6" s="227"/>
      <c r="O6" s="170"/>
      <c r="P6" s="1"/>
      <c r="Q6" s="1"/>
    </row>
    <row r="7" spans="1:17" x14ac:dyDescent="0.3">
      <c r="A7" s="45">
        <v>119</v>
      </c>
      <c r="B7" s="46">
        <v>14500</v>
      </c>
      <c r="C7" s="46">
        <f>A7*B7</f>
        <v>1725500</v>
      </c>
      <c r="D7" s="46"/>
      <c r="E7" s="46">
        <f>C19</f>
        <v>1945500</v>
      </c>
      <c r="F7" s="46"/>
      <c r="G7" s="46"/>
      <c r="H7" s="45"/>
      <c r="J7" s="5">
        <v>46070</v>
      </c>
      <c r="K7" s="1" t="s">
        <v>54</v>
      </c>
      <c r="L7" s="1" t="s">
        <v>184</v>
      </c>
      <c r="M7" s="1">
        <v>6500</v>
      </c>
      <c r="N7" s="43"/>
      <c r="O7" s="1"/>
      <c r="P7" s="1"/>
      <c r="Q7" s="1"/>
    </row>
    <row r="8" spans="1:17" x14ac:dyDescent="0.3">
      <c r="A8" s="45">
        <v>0</v>
      </c>
      <c r="B8" s="46">
        <v>14500</v>
      </c>
      <c r="C8" s="46">
        <f t="shared" ref="C8:C14" si="0">A8*B8</f>
        <v>0</v>
      </c>
      <c r="D8" s="46"/>
      <c r="E8" s="46"/>
      <c r="F8" s="46"/>
      <c r="G8" s="46" t="s">
        <v>32</v>
      </c>
      <c r="H8" s="45"/>
      <c r="J8" s="137">
        <v>46106</v>
      </c>
      <c r="K8" s="1"/>
      <c r="L8" s="1" t="s">
        <v>115</v>
      </c>
      <c r="M8" s="1">
        <v>15000</v>
      </c>
      <c r="N8" s="171">
        <v>46111</v>
      </c>
      <c r="O8" s="1"/>
      <c r="P8" s="1"/>
      <c r="Q8" s="1"/>
    </row>
    <row r="9" spans="1:17" x14ac:dyDescent="0.3">
      <c r="A9" s="45">
        <v>0</v>
      </c>
      <c r="B9" s="46">
        <v>15000</v>
      </c>
      <c r="C9" s="46">
        <f t="shared" si="0"/>
        <v>0</v>
      </c>
      <c r="D9" s="46"/>
      <c r="E9" s="46" t="s">
        <v>34</v>
      </c>
      <c r="F9" s="46"/>
      <c r="G9" s="46">
        <v>10500</v>
      </c>
      <c r="H9" s="45"/>
      <c r="J9" s="137">
        <v>46112</v>
      </c>
      <c r="K9" s="1" t="s">
        <v>54</v>
      </c>
      <c r="L9" s="1" t="s">
        <v>185</v>
      </c>
      <c r="M9" s="1" t="s">
        <v>186</v>
      </c>
      <c r="N9" s="171">
        <v>46118</v>
      </c>
      <c r="O9" s="1"/>
      <c r="P9" s="1"/>
      <c r="Q9" s="1"/>
    </row>
    <row r="10" spans="1:17" x14ac:dyDescent="0.3">
      <c r="A10" s="45">
        <v>0</v>
      </c>
      <c r="B10" s="46">
        <v>6200</v>
      </c>
      <c r="C10" s="46">
        <f t="shared" si="0"/>
        <v>0</v>
      </c>
      <c r="D10" s="46"/>
      <c r="E10" s="176">
        <f>E7-G16</f>
        <v>1401500</v>
      </c>
      <c r="F10" s="46"/>
      <c r="G10" s="46">
        <v>26000</v>
      </c>
      <c r="H10" s="45"/>
      <c r="J10" s="5">
        <v>46141</v>
      </c>
      <c r="K10" s="1" t="s">
        <v>54</v>
      </c>
      <c r="L10" s="1" t="s">
        <v>115</v>
      </c>
      <c r="M10" s="75">
        <v>90000</v>
      </c>
      <c r="N10" s="43"/>
      <c r="O10" s="1"/>
      <c r="P10" s="1"/>
      <c r="Q10" s="1"/>
    </row>
    <row r="11" spans="1:17" x14ac:dyDescent="0.3">
      <c r="A11" s="45">
        <v>0</v>
      </c>
      <c r="B11" s="46">
        <v>6500</v>
      </c>
      <c r="C11" s="46">
        <f t="shared" si="0"/>
        <v>0</v>
      </c>
      <c r="D11" s="46"/>
      <c r="E11" s="46"/>
      <c r="F11" s="46">
        <v>0</v>
      </c>
      <c r="G11" s="46">
        <v>115500</v>
      </c>
      <c r="H11" s="45"/>
      <c r="J11" s="137">
        <v>46090</v>
      </c>
      <c r="K11" s="1" t="s">
        <v>53</v>
      </c>
      <c r="L11" s="1" t="s">
        <v>202</v>
      </c>
      <c r="M11" s="1" t="s">
        <v>211</v>
      </c>
      <c r="N11" s="43" t="s">
        <v>212</v>
      </c>
      <c r="O11" s="1" t="s">
        <v>213</v>
      </c>
      <c r="P11" s="1"/>
      <c r="Q11" s="1"/>
    </row>
    <row r="12" spans="1:17" x14ac:dyDescent="0.3">
      <c r="A12" s="45">
        <v>0</v>
      </c>
      <c r="B12" s="46">
        <v>4500</v>
      </c>
      <c r="C12" s="46">
        <f t="shared" si="0"/>
        <v>0</v>
      </c>
      <c r="D12" s="46"/>
      <c r="E12" s="19">
        <v>632000</v>
      </c>
      <c r="F12" s="46"/>
      <c r="G12" s="46">
        <v>296000</v>
      </c>
      <c r="H12" s="45"/>
      <c r="J12" s="5">
        <v>46122</v>
      </c>
      <c r="K12" s="1" t="s">
        <v>54</v>
      </c>
      <c r="L12" s="1" t="s">
        <v>208</v>
      </c>
      <c r="M12" s="1" t="s">
        <v>214</v>
      </c>
      <c r="N12" s="171">
        <v>46134</v>
      </c>
      <c r="O12" s="1"/>
      <c r="P12" s="1"/>
      <c r="Q12" s="1"/>
    </row>
    <row r="13" spans="1:17" x14ac:dyDescent="0.3">
      <c r="A13" s="45">
        <v>0</v>
      </c>
      <c r="B13" s="46">
        <v>1208</v>
      </c>
      <c r="C13" s="46">
        <f t="shared" si="0"/>
        <v>0</v>
      </c>
      <c r="D13" s="46"/>
      <c r="E13" s="19">
        <v>769500</v>
      </c>
      <c r="F13" s="46"/>
      <c r="G13" s="46">
        <v>96000</v>
      </c>
      <c r="H13" s="45"/>
      <c r="J13" s="5"/>
      <c r="K13" s="1" t="s">
        <v>54</v>
      </c>
      <c r="L13" s="1" t="s">
        <v>209</v>
      </c>
      <c r="M13" s="75">
        <v>14500</v>
      </c>
      <c r="N13" s="43"/>
      <c r="O13" s="1"/>
      <c r="P13" s="1"/>
      <c r="Q13" s="1"/>
    </row>
    <row r="14" spans="1:17" x14ac:dyDescent="0.3">
      <c r="A14" s="45">
        <v>0</v>
      </c>
      <c r="B14" s="46">
        <v>2500</v>
      </c>
      <c r="C14" s="46">
        <f t="shared" si="0"/>
        <v>0</v>
      </c>
      <c r="D14" s="46"/>
      <c r="E14" s="19">
        <v>0</v>
      </c>
      <c r="F14" s="46"/>
      <c r="G14" s="46">
        <v>0</v>
      </c>
      <c r="H14" s="45"/>
      <c r="J14" s="5">
        <v>46135</v>
      </c>
      <c r="K14" s="1" t="s">
        <v>53</v>
      </c>
      <c r="L14" s="1" t="s">
        <v>215</v>
      </c>
      <c r="M14" s="1">
        <v>12000</v>
      </c>
      <c r="N14" s="171"/>
      <c r="O14" s="1"/>
      <c r="P14" s="1"/>
      <c r="Q14" s="1"/>
    </row>
    <row r="15" spans="1:17" x14ac:dyDescent="0.3">
      <c r="A15" s="45">
        <f>SUM(A7:A14)</f>
        <v>119</v>
      </c>
      <c r="B15" s="46"/>
      <c r="C15" s="46">
        <v>60000</v>
      </c>
      <c r="D15" s="46"/>
      <c r="E15" s="19">
        <v>0</v>
      </c>
      <c r="F15" s="46"/>
      <c r="G15" s="46">
        <v>0</v>
      </c>
      <c r="H15" s="45"/>
      <c r="J15" s="5">
        <v>46128</v>
      </c>
      <c r="K15" s="1" t="s">
        <v>54</v>
      </c>
      <c r="L15" s="1" t="s">
        <v>210</v>
      </c>
      <c r="M15" s="75">
        <v>8000</v>
      </c>
      <c r="N15" s="171"/>
      <c r="O15" s="1"/>
      <c r="P15" s="1"/>
      <c r="Q15" s="1"/>
    </row>
    <row r="16" spans="1:17" x14ac:dyDescent="0.3">
      <c r="A16" s="45"/>
      <c r="B16" s="46"/>
      <c r="C16" s="46">
        <v>72500</v>
      </c>
      <c r="D16" s="46" t="s">
        <v>36</v>
      </c>
      <c r="E16" s="176">
        <f>E10-E12-E13-E14</f>
        <v>0</v>
      </c>
      <c r="F16" s="46"/>
      <c r="G16" s="19">
        <f>SUM(G9:G15)</f>
        <v>544000</v>
      </c>
      <c r="H16" s="45">
        <v>0</v>
      </c>
      <c r="J16" s="5">
        <v>46146</v>
      </c>
      <c r="K16" s="1" t="s">
        <v>53</v>
      </c>
      <c r="L16" s="1" t="s">
        <v>216</v>
      </c>
      <c r="M16" s="1">
        <v>30000</v>
      </c>
      <c r="N16" s="171"/>
      <c r="O16" s="1"/>
      <c r="P16" s="1"/>
      <c r="Q16" s="1"/>
    </row>
    <row r="17" spans="1:17" x14ac:dyDescent="0.3">
      <c r="A17" s="45"/>
      <c r="B17" s="46"/>
      <c r="C17" s="46">
        <v>87500</v>
      </c>
      <c r="D17" s="46"/>
      <c r="E17" s="46"/>
      <c r="F17" s="46"/>
      <c r="G17" s="46"/>
      <c r="H17" s="180">
        <f>G16-H16</f>
        <v>544000</v>
      </c>
      <c r="J17" s="5">
        <v>46174</v>
      </c>
      <c r="K17" s="1"/>
      <c r="L17" s="1" t="s">
        <v>224</v>
      </c>
      <c r="M17" s="1">
        <v>150000</v>
      </c>
      <c r="N17" s="43"/>
      <c r="O17" s="1"/>
      <c r="P17" s="1"/>
      <c r="Q17" s="1"/>
    </row>
    <row r="18" spans="1:17" x14ac:dyDescent="0.3">
      <c r="A18" s="45"/>
      <c r="B18" s="46"/>
      <c r="C18" s="46">
        <v>0</v>
      </c>
      <c r="D18" s="46"/>
      <c r="E18" s="46"/>
      <c r="F18" s="46"/>
      <c r="G18" s="46"/>
      <c r="H18" s="45"/>
      <c r="J18" s="5">
        <v>46148</v>
      </c>
      <c r="K18" s="1" t="s">
        <v>217</v>
      </c>
      <c r="L18" s="1" t="s">
        <v>182</v>
      </c>
      <c r="M18" s="1">
        <v>19500</v>
      </c>
      <c r="N18" s="43"/>
      <c r="O18" s="1"/>
      <c r="P18" s="1"/>
      <c r="Q18" s="1"/>
    </row>
    <row r="19" spans="1:17" x14ac:dyDescent="0.3">
      <c r="A19" s="45"/>
      <c r="B19" s="46" t="s">
        <v>35</v>
      </c>
      <c r="C19" s="19">
        <f>SUM(C7:C18)</f>
        <v>1945500</v>
      </c>
      <c r="D19" s="46"/>
      <c r="E19" s="46"/>
      <c r="F19" s="46"/>
      <c r="G19" s="46"/>
      <c r="H19" s="45"/>
      <c r="J19" s="5">
        <v>46157</v>
      </c>
      <c r="K19" s="1" t="s">
        <v>219</v>
      </c>
      <c r="L19" s="1" t="s">
        <v>218</v>
      </c>
      <c r="M19" s="1" t="s">
        <v>220</v>
      </c>
      <c r="N19" s="171">
        <v>46164</v>
      </c>
      <c r="O19" s="1"/>
      <c r="P19" s="1"/>
      <c r="Q19" s="1"/>
    </row>
    <row r="20" spans="1:17" x14ac:dyDescent="0.3">
      <c r="A20" s="45"/>
      <c r="B20" s="46"/>
      <c r="C20" s="46"/>
      <c r="D20" s="46"/>
      <c r="E20" s="46"/>
      <c r="F20" s="46"/>
      <c r="G20" s="46"/>
      <c r="H20" s="45"/>
      <c r="J20" s="5">
        <v>46168</v>
      </c>
      <c r="K20" s="1" t="s">
        <v>54</v>
      </c>
      <c r="L20" s="1" t="s">
        <v>221</v>
      </c>
      <c r="M20" s="75" t="s">
        <v>222</v>
      </c>
      <c r="N20" s="171">
        <v>46171</v>
      </c>
      <c r="O20" s="1"/>
      <c r="P20" s="1"/>
      <c r="Q20" s="1"/>
    </row>
    <row r="21" spans="1:17" x14ac:dyDescent="0.3">
      <c r="A21" s="45"/>
      <c r="B21" s="46"/>
      <c r="C21" s="46"/>
      <c r="D21" s="46"/>
      <c r="E21" s="46"/>
      <c r="F21" s="46">
        <v>590000</v>
      </c>
      <c r="G21" s="46">
        <v>8800</v>
      </c>
      <c r="H21" s="45">
        <f>72*150</f>
        <v>10800</v>
      </c>
      <c r="J21" s="5">
        <v>46171</v>
      </c>
      <c r="K21" s="1" t="s">
        <v>54</v>
      </c>
      <c r="L21" s="21" t="s">
        <v>223</v>
      </c>
      <c r="M21" s="75">
        <v>58500</v>
      </c>
      <c r="N21" s="43"/>
      <c r="O21" s="1"/>
      <c r="P21" s="1"/>
      <c r="Q21" s="1"/>
    </row>
    <row r="22" spans="1:17" x14ac:dyDescent="0.3">
      <c r="A22" s="45"/>
      <c r="B22" s="46"/>
      <c r="C22" s="46"/>
      <c r="D22" s="46"/>
      <c r="E22" s="46"/>
      <c r="F22" s="46">
        <v>662500</v>
      </c>
      <c r="G22" s="46">
        <v>9</v>
      </c>
      <c r="H22" s="45"/>
      <c r="J22" s="5">
        <v>46171</v>
      </c>
      <c r="K22" s="1" t="s">
        <v>53</v>
      </c>
      <c r="L22" s="1" t="s">
        <v>115</v>
      </c>
      <c r="M22" s="1" t="s">
        <v>225</v>
      </c>
      <c r="N22" s="171">
        <v>46175</v>
      </c>
      <c r="O22" s="1"/>
      <c r="P22" s="1"/>
      <c r="Q22" s="1"/>
    </row>
    <row r="23" spans="1:17" x14ac:dyDescent="0.3">
      <c r="A23" s="45"/>
      <c r="B23" s="46"/>
      <c r="C23" s="46"/>
      <c r="D23" s="46"/>
      <c r="E23" s="46"/>
      <c r="F23" s="46">
        <v>0</v>
      </c>
      <c r="G23" s="46"/>
      <c r="H23" s="45"/>
      <c r="J23" s="5">
        <v>46174</v>
      </c>
      <c r="K23" s="1"/>
      <c r="L23" s="1"/>
      <c r="M23" s="75"/>
      <c r="N23" s="43"/>
      <c r="O23" s="1"/>
      <c r="P23" s="1"/>
      <c r="Q23" s="1"/>
    </row>
    <row r="24" spans="1:17" x14ac:dyDescent="0.3">
      <c r="A24" s="45"/>
      <c r="B24" s="46"/>
      <c r="C24" s="46"/>
      <c r="D24" s="46"/>
      <c r="E24" s="46"/>
      <c r="F24" s="46">
        <v>0</v>
      </c>
      <c r="G24" s="46"/>
      <c r="H24" s="45"/>
      <c r="J24" s="5"/>
      <c r="K24" s="1"/>
      <c r="L24" s="1" t="s">
        <v>202</v>
      </c>
      <c r="M24" s="75">
        <v>116000</v>
      </c>
      <c r="N24" s="43"/>
      <c r="O24" s="1"/>
      <c r="P24" s="1"/>
      <c r="Q24" s="1"/>
    </row>
    <row r="25" spans="1:17" x14ac:dyDescent="0.3">
      <c r="A25" s="45"/>
      <c r="B25" s="46"/>
      <c r="C25" s="46"/>
      <c r="D25" s="46"/>
      <c r="E25" s="46"/>
      <c r="F25" s="46">
        <v>0</v>
      </c>
      <c r="G25" s="46"/>
      <c r="H25" s="45"/>
      <c r="J25" s="5"/>
      <c r="K25" s="1"/>
      <c r="L25" s="1" t="s">
        <v>226</v>
      </c>
      <c r="M25" s="37">
        <v>12500</v>
      </c>
      <c r="N25" s="43"/>
      <c r="O25" s="1"/>
      <c r="P25" s="1"/>
      <c r="Q25" s="1"/>
    </row>
    <row r="26" spans="1:17" x14ac:dyDescent="0.3">
      <c r="A26" s="45"/>
      <c r="B26" s="46"/>
      <c r="C26" s="46"/>
      <c r="D26" s="46"/>
      <c r="E26" s="46"/>
      <c r="F26" s="46">
        <f>SUM(F21:F25)</f>
        <v>1252500</v>
      </c>
      <c r="G26" s="46"/>
      <c r="H26" s="45"/>
      <c r="J26" s="5"/>
      <c r="K26" s="1"/>
      <c r="L26" s="1"/>
      <c r="M26" s="1"/>
      <c r="N26" s="43"/>
      <c r="O26" s="1"/>
      <c r="P26" s="1"/>
      <c r="Q26" s="1"/>
    </row>
    <row r="27" spans="1:17" x14ac:dyDescent="0.3">
      <c r="A27" s="45"/>
      <c r="B27" s="46"/>
      <c r="C27" s="46"/>
      <c r="D27" s="46"/>
      <c r="E27" s="63"/>
      <c r="F27" s="46"/>
      <c r="G27" s="46"/>
      <c r="H27" s="45"/>
      <c r="J27" s="5"/>
      <c r="K27" s="1"/>
      <c r="L27" s="21"/>
      <c r="M27" s="1"/>
      <c r="N27" s="171"/>
      <c r="O27" s="1"/>
      <c r="P27" s="1"/>
      <c r="Q27" s="1"/>
    </row>
    <row r="28" spans="1:17" x14ac:dyDescent="0.3">
      <c r="A28" s="45"/>
      <c r="B28" s="46"/>
      <c r="C28" s="46"/>
      <c r="D28" s="46"/>
      <c r="E28" s="46"/>
      <c r="F28" s="46"/>
      <c r="G28" s="46"/>
      <c r="H28" s="45"/>
      <c r="J28" s="5"/>
      <c r="K28" s="1"/>
      <c r="L28" s="21"/>
      <c r="M28" s="12"/>
      <c r="N28" s="171"/>
      <c r="O28" s="1"/>
      <c r="P28" s="1"/>
      <c r="Q28" s="1"/>
    </row>
    <row r="29" spans="1:17" x14ac:dyDescent="0.3">
      <c r="A29" s="45"/>
      <c r="B29" s="46"/>
      <c r="C29" s="46"/>
      <c r="D29" s="46"/>
      <c r="E29" s="46"/>
      <c r="F29" s="46"/>
      <c r="G29" s="46"/>
      <c r="H29" s="45"/>
      <c r="I29">
        <v>2026</v>
      </c>
      <c r="J29" s="53"/>
      <c r="K29" s="1"/>
      <c r="L29" s="1"/>
      <c r="M29" s="1"/>
      <c r="N29" s="171"/>
      <c r="O29" s="1"/>
      <c r="P29" s="1"/>
      <c r="Q29" s="1"/>
    </row>
    <row r="30" spans="1:17" x14ac:dyDescent="0.3">
      <c r="A30" s="45"/>
      <c r="B30" s="46"/>
      <c r="C30" s="46"/>
      <c r="D30" s="46"/>
      <c r="E30" s="46"/>
      <c r="F30" s="46"/>
      <c r="G30" s="46"/>
      <c r="H30" s="45"/>
      <c r="J30" s="5"/>
      <c r="K30" s="1"/>
      <c r="L30" s="1"/>
      <c r="M30" s="1"/>
      <c r="N30" s="43"/>
      <c r="O30" s="5"/>
      <c r="P30" s="5"/>
      <c r="Q30" s="1"/>
    </row>
    <row r="31" spans="1:17" x14ac:dyDescent="0.3">
      <c r="A31" s="45"/>
      <c r="B31" s="46"/>
      <c r="C31" s="46"/>
      <c r="D31" s="46"/>
      <c r="E31" s="46"/>
      <c r="F31" s="46"/>
      <c r="G31" s="46"/>
      <c r="H31" s="45"/>
      <c r="J31" s="5"/>
      <c r="K31" s="1"/>
      <c r="L31" s="1"/>
      <c r="M31" s="1"/>
      <c r="N31" s="43"/>
      <c r="O31" s="1"/>
      <c r="P31" s="1"/>
      <c r="Q31" s="1"/>
    </row>
    <row r="32" spans="1:17" x14ac:dyDescent="0.3">
      <c r="A32" s="45"/>
      <c r="B32" s="46"/>
      <c r="C32" s="46"/>
      <c r="D32" s="46"/>
      <c r="E32" s="46"/>
      <c r="F32" s="46"/>
      <c r="G32" s="46"/>
      <c r="H32" s="45"/>
      <c r="J32" s="5"/>
      <c r="K32" s="1"/>
      <c r="L32" s="1"/>
      <c r="M32" s="1"/>
      <c r="N32" s="43"/>
      <c r="O32" s="1"/>
      <c r="P32" s="1"/>
      <c r="Q32" s="1"/>
    </row>
    <row r="33" spans="1:17" x14ac:dyDescent="0.3">
      <c r="A33" s="45"/>
      <c r="B33" s="46"/>
      <c r="C33" s="46"/>
      <c r="D33" s="46"/>
      <c r="E33" s="46"/>
      <c r="F33" s="46"/>
      <c r="G33" s="46"/>
      <c r="H33" s="45"/>
      <c r="J33" s="5"/>
      <c r="K33" s="1"/>
      <c r="L33" s="1"/>
      <c r="M33" s="1"/>
      <c r="N33" s="43"/>
      <c r="O33" s="1"/>
      <c r="P33" s="1"/>
      <c r="Q33" s="1"/>
    </row>
    <row r="34" spans="1:17" x14ac:dyDescent="0.3">
      <c r="A34" s="25"/>
      <c r="B34" s="35"/>
      <c r="C34" s="35"/>
      <c r="D34" s="35"/>
      <c r="E34" s="35"/>
      <c r="F34" s="35"/>
      <c r="G34" s="35"/>
      <c r="H34" s="25"/>
      <c r="J34" s="5"/>
      <c r="K34" s="1"/>
      <c r="L34" s="1"/>
      <c r="M34" s="1"/>
      <c r="N34" s="5"/>
      <c r="O34" s="1"/>
      <c r="P34" s="1"/>
      <c r="Q34" s="1"/>
    </row>
    <row r="35" spans="1:17" x14ac:dyDescent="0.3">
      <c r="A35" s="25"/>
      <c r="B35" s="35"/>
      <c r="C35" s="35"/>
      <c r="D35" s="35"/>
      <c r="E35" s="35"/>
      <c r="F35" s="35"/>
      <c r="G35" s="35"/>
      <c r="H35" s="25"/>
      <c r="J35" s="137"/>
      <c r="K35" s="1"/>
      <c r="L35" s="1"/>
      <c r="M35" s="1"/>
      <c r="N35" s="5"/>
      <c r="O35" s="1"/>
      <c r="P35" s="1"/>
      <c r="Q35" s="1"/>
    </row>
    <row r="36" spans="1:17" x14ac:dyDescent="0.3">
      <c r="A36" s="25"/>
      <c r="B36" s="35"/>
      <c r="C36" s="35"/>
      <c r="D36" s="35"/>
      <c r="E36" s="35"/>
      <c r="F36" s="35"/>
      <c r="G36" s="35"/>
      <c r="H36" s="25"/>
      <c r="J36" s="137"/>
      <c r="K36" s="1"/>
      <c r="L36" s="1"/>
      <c r="M36" s="1"/>
      <c r="N36" s="5"/>
      <c r="O36" s="1"/>
      <c r="P36" s="1"/>
      <c r="Q36" s="1"/>
    </row>
    <row r="37" spans="1:17" x14ac:dyDescent="0.3">
      <c r="A37" s="25"/>
      <c r="B37" s="35"/>
      <c r="C37" s="35"/>
      <c r="D37" s="35"/>
      <c r="E37" s="35"/>
      <c r="F37" s="35"/>
      <c r="G37" s="35"/>
      <c r="H37" s="25"/>
      <c r="J37" s="137"/>
      <c r="K37" s="1"/>
      <c r="L37" s="1"/>
      <c r="M37" s="1"/>
      <c r="N37" s="1"/>
      <c r="O37" s="1"/>
      <c r="P37" s="1"/>
      <c r="Q37" s="1"/>
    </row>
    <row r="38" spans="1:17" x14ac:dyDescent="0.3">
      <c r="A38" s="25"/>
      <c r="B38" s="35"/>
      <c r="C38" s="35"/>
      <c r="D38" s="35"/>
      <c r="E38" s="35"/>
      <c r="F38" s="35"/>
      <c r="G38" s="35"/>
      <c r="H38" s="25"/>
      <c r="J38" s="1"/>
      <c r="K38" s="1"/>
      <c r="L38" s="1"/>
      <c r="M38" s="1"/>
      <c r="N38" s="1"/>
      <c r="O38" s="1"/>
      <c r="P38" s="1"/>
      <c r="Q38" s="1"/>
    </row>
    <row r="39" spans="1:17" x14ac:dyDescent="0.3">
      <c r="J39" s="137"/>
      <c r="K39" s="1"/>
      <c r="L39" s="1"/>
      <c r="M39" s="1"/>
      <c r="N39" s="5"/>
      <c r="O39" s="1"/>
      <c r="P39" s="1"/>
      <c r="Q39" s="1"/>
    </row>
    <row r="40" spans="1:17" x14ac:dyDescent="0.3">
      <c r="J40" s="5"/>
      <c r="K40" s="1"/>
      <c r="L40" s="1"/>
      <c r="M40" s="1"/>
      <c r="N40" s="1"/>
      <c r="O40" s="1"/>
      <c r="P40" s="1"/>
      <c r="Q40" s="1"/>
    </row>
    <row r="41" spans="1:17" x14ac:dyDescent="0.3">
      <c r="J41" s="5"/>
      <c r="K41" s="1"/>
      <c r="L41" s="1"/>
      <c r="M41" s="1"/>
      <c r="N41" s="1"/>
      <c r="O41" s="1"/>
      <c r="P41" s="1"/>
      <c r="Q41" s="1"/>
    </row>
    <row r="42" spans="1:17" x14ac:dyDescent="0.3">
      <c r="J42" s="1"/>
      <c r="K42" s="1"/>
      <c r="L42" s="1"/>
      <c r="M42" s="1"/>
      <c r="N42" s="1"/>
      <c r="O42" s="1"/>
      <c r="P42" s="1"/>
      <c r="Q42" s="1"/>
    </row>
    <row r="43" spans="1:17" x14ac:dyDescent="0.3">
      <c r="J43" s="5"/>
      <c r="K43" s="1"/>
      <c r="L43" s="1"/>
      <c r="M43" s="1"/>
      <c r="N43" s="1"/>
      <c r="O43" s="1"/>
      <c r="P43" s="1"/>
      <c r="Q43" s="1"/>
    </row>
    <row r="44" spans="1:17" x14ac:dyDescent="0.3">
      <c r="J44" s="137"/>
      <c r="K44" s="1"/>
      <c r="L44" s="1"/>
      <c r="M44" s="1"/>
      <c r="N44" s="1"/>
      <c r="O44" s="1"/>
      <c r="P44" s="1"/>
      <c r="Q44" s="1"/>
    </row>
    <row r="45" spans="1:17" x14ac:dyDescent="0.3">
      <c r="J45" s="5"/>
      <c r="K45" s="1"/>
      <c r="L45" s="1"/>
      <c r="M45" s="1"/>
      <c r="N45" s="1"/>
      <c r="O45" s="1"/>
      <c r="P45" s="1"/>
      <c r="Q45" s="1"/>
    </row>
    <row r="46" spans="1:17" x14ac:dyDescent="0.3">
      <c r="J46" s="25"/>
      <c r="K46" s="25"/>
      <c r="L46" s="25"/>
      <c r="M46" s="25"/>
    </row>
    <row r="47" spans="1:17" x14ac:dyDescent="0.3">
      <c r="J47" s="25"/>
      <c r="K47" s="25"/>
      <c r="L47" s="25"/>
      <c r="M47" s="25"/>
    </row>
    <row r="48" spans="1:17" x14ac:dyDescent="0.3">
      <c r="J48" s="25"/>
      <c r="K48" s="25"/>
      <c r="L48" s="25"/>
      <c r="M48" s="25"/>
    </row>
    <row r="49" spans="10:13" x14ac:dyDescent="0.3">
      <c r="J49" s="25"/>
      <c r="K49" s="25"/>
      <c r="L49" s="25"/>
      <c r="M49" s="25"/>
    </row>
    <row r="50" spans="10:13" x14ac:dyDescent="0.3">
      <c r="J50" s="25"/>
      <c r="K50" s="25"/>
      <c r="L50" s="25"/>
      <c r="M50" s="25"/>
    </row>
    <row r="51" spans="10:13" x14ac:dyDescent="0.3">
      <c r="J51" s="25"/>
      <c r="K51" s="25"/>
      <c r="L51" s="25"/>
      <c r="M51" s="25"/>
    </row>
    <row r="52" spans="10:13" x14ac:dyDescent="0.3">
      <c r="J52" s="25"/>
      <c r="K52" s="25"/>
      <c r="L52" s="25"/>
      <c r="M52" s="25"/>
    </row>
    <row r="53" spans="10:13" x14ac:dyDescent="0.3">
      <c r="J53" s="25"/>
      <c r="K53" s="25"/>
      <c r="L53" s="25"/>
      <c r="M53" s="25"/>
    </row>
    <row r="54" spans="10:13" x14ac:dyDescent="0.3">
      <c r="J54" s="25"/>
      <c r="K54" s="25"/>
      <c r="L54" s="25"/>
      <c r="M54" s="25"/>
    </row>
    <row r="55" spans="10:13" x14ac:dyDescent="0.3">
      <c r="J55" s="25"/>
      <c r="K55" s="25"/>
      <c r="L55" s="25"/>
      <c r="M55" s="25"/>
    </row>
    <row r="56" spans="10:13" x14ac:dyDescent="0.3">
      <c r="J56" s="25"/>
      <c r="K56" s="25"/>
      <c r="L56" s="25"/>
      <c r="M56" s="25"/>
    </row>
    <row r="57" spans="10:13" x14ac:dyDescent="0.3">
      <c r="J57" s="25"/>
      <c r="K57" s="25"/>
      <c r="L57" s="25"/>
      <c r="M57" s="25"/>
    </row>
    <row r="58" spans="10:13" x14ac:dyDescent="0.3">
      <c r="J58" s="25"/>
      <c r="K58" s="25"/>
      <c r="L58" s="25"/>
      <c r="M58" s="25"/>
    </row>
    <row r="59" spans="10:13" x14ac:dyDescent="0.3">
      <c r="J59" s="25"/>
      <c r="K59" s="25"/>
      <c r="L59" s="25"/>
      <c r="M59" s="25"/>
    </row>
    <row r="60" spans="10:13" x14ac:dyDescent="0.3">
      <c r="J60" s="25"/>
      <c r="K60" s="25"/>
      <c r="L60" s="25"/>
      <c r="M60" s="25"/>
    </row>
    <row r="61" spans="10:13" x14ac:dyDescent="0.3">
      <c r="J61" s="25"/>
      <c r="K61" s="25"/>
      <c r="L61" s="25"/>
      <c r="M61" s="25"/>
    </row>
    <row r="62" spans="10:13" x14ac:dyDescent="0.3">
      <c r="J62" s="25"/>
      <c r="K62" s="25"/>
      <c r="L62" s="25"/>
      <c r="M62" s="25"/>
    </row>
    <row r="63" spans="10:13" x14ac:dyDescent="0.3">
      <c r="J63" s="25"/>
      <c r="K63" s="25"/>
      <c r="L63" s="25"/>
      <c r="M63" s="25"/>
    </row>
    <row r="64" spans="10:13" x14ac:dyDescent="0.3">
      <c r="J64" s="25"/>
      <c r="K64" s="25"/>
      <c r="L64" s="25"/>
      <c r="M64" s="25"/>
    </row>
    <row r="65" spans="10:13" x14ac:dyDescent="0.3">
      <c r="J65" s="25"/>
      <c r="K65" s="25"/>
      <c r="L65" s="25"/>
      <c r="M65" s="25"/>
    </row>
    <row r="66" spans="10:13" x14ac:dyDescent="0.3">
      <c r="J66" s="25"/>
      <c r="K66" s="25"/>
      <c r="L66" s="25"/>
      <c r="M66" s="25"/>
    </row>
    <row r="67" spans="10:13" x14ac:dyDescent="0.3">
      <c r="J67" s="25"/>
      <c r="K67" s="25"/>
      <c r="L67" s="25"/>
      <c r="M67" s="25"/>
    </row>
    <row r="68" spans="10:13" x14ac:dyDescent="0.3">
      <c r="J68" s="25"/>
      <c r="K68" s="25"/>
      <c r="L68" s="25"/>
      <c r="M68" s="25"/>
    </row>
    <row r="69" spans="10:13" x14ac:dyDescent="0.3">
      <c r="J69" s="25"/>
      <c r="K69" s="25"/>
      <c r="L69" s="25"/>
      <c r="M69" s="25"/>
    </row>
    <row r="70" spans="10:13" x14ac:dyDescent="0.3">
      <c r="J70" s="25"/>
      <c r="K70" s="25"/>
      <c r="L70" s="25"/>
      <c r="M70" s="25"/>
    </row>
    <row r="71" spans="10:13" x14ac:dyDescent="0.3">
      <c r="J71" s="25"/>
      <c r="K71" s="25"/>
      <c r="L71" s="25"/>
      <c r="M71" s="25"/>
    </row>
    <row r="72" spans="10:13" x14ac:dyDescent="0.3">
      <c r="J72" s="25"/>
      <c r="K72" s="25"/>
      <c r="L72" s="25"/>
      <c r="M72" s="25"/>
    </row>
    <row r="73" spans="10:13" x14ac:dyDescent="0.3">
      <c r="J73" s="25"/>
      <c r="K73" s="25"/>
      <c r="L73" s="25"/>
      <c r="M73" s="2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M50"/>
  <sheetViews>
    <sheetView topLeftCell="A9" zoomScaleNormal="100" workbookViewId="0">
      <selection activeCell="F21" sqref="F21"/>
    </sheetView>
  </sheetViews>
  <sheetFormatPr defaultRowHeight="14.4" x14ac:dyDescent="0.3"/>
  <cols>
    <col min="1" max="1" width="11.77734375" customWidth="1"/>
    <col min="2" max="2" width="20.33203125" customWidth="1"/>
    <col min="3" max="3" width="13" customWidth="1"/>
    <col min="4" max="4" width="11.21875" customWidth="1"/>
    <col min="5" max="5" width="13.88671875" style="8" customWidth="1"/>
    <col min="6" max="6" width="15.77734375" style="8" customWidth="1"/>
    <col min="7" max="7" width="14" style="8" customWidth="1"/>
    <col min="8" max="8" width="13.88671875" customWidth="1"/>
  </cols>
  <sheetData>
    <row r="4" spans="1:13" x14ac:dyDescent="0.3">
      <c r="B4" t="s">
        <v>74</v>
      </c>
    </row>
    <row r="5" spans="1:13" s="2" customFormat="1" x14ac:dyDescent="0.3">
      <c r="A5" s="41" t="s">
        <v>45</v>
      </c>
      <c r="B5" s="41" t="s">
        <v>46</v>
      </c>
      <c r="C5" s="41" t="s">
        <v>69</v>
      </c>
      <c r="D5" s="41" t="s">
        <v>48</v>
      </c>
      <c r="E5" s="42" t="s">
        <v>24</v>
      </c>
      <c r="F5" s="42" t="s">
        <v>65</v>
      </c>
      <c r="G5" s="42" t="s">
        <v>47</v>
      </c>
      <c r="H5" s="41" t="s">
        <v>66</v>
      </c>
      <c r="I5" s="41" t="s">
        <v>24</v>
      </c>
      <c r="J5" s="41" t="s">
        <v>67</v>
      </c>
      <c r="K5" s="41" t="s">
        <v>47</v>
      </c>
      <c r="L5" s="41" t="s">
        <v>48</v>
      </c>
      <c r="M5" s="41" t="s">
        <v>24</v>
      </c>
    </row>
    <row r="6" spans="1:13" x14ac:dyDescent="0.3">
      <c r="A6" s="5">
        <v>45838</v>
      </c>
      <c r="B6" s="1" t="s">
        <v>8</v>
      </c>
      <c r="C6" s="1">
        <v>3000</v>
      </c>
      <c r="D6" s="1">
        <v>500</v>
      </c>
      <c r="E6" s="7">
        <f>C6*D6</f>
        <v>1500000</v>
      </c>
      <c r="F6" s="65" t="s">
        <v>8</v>
      </c>
      <c r="G6" s="65"/>
      <c r="H6" s="66"/>
      <c r="I6" s="67">
        <f>G6*H6</f>
        <v>0</v>
      </c>
      <c r="J6" s="1"/>
      <c r="K6" s="1"/>
      <c r="L6" s="1"/>
      <c r="M6" s="41">
        <f t="shared" ref="M6:M10" si="0">K6*L6</f>
        <v>0</v>
      </c>
    </row>
    <row r="7" spans="1:13" x14ac:dyDescent="0.3">
      <c r="A7" s="5"/>
      <c r="B7" s="1" t="s">
        <v>7</v>
      </c>
      <c r="C7" s="1">
        <v>600</v>
      </c>
      <c r="D7" s="1">
        <v>900</v>
      </c>
      <c r="E7" s="7">
        <f>C7*D7</f>
        <v>540000</v>
      </c>
      <c r="F7" s="65"/>
      <c r="G7" s="65">
        <f>G6+E7-SUM(F7)</f>
        <v>540000</v>
      </c>
      <c r="H7" s="66"/>
      <c r="I7" s="67">
        <f t="shared" ref="I7:I16" si="1">G7*H7</f>
        <v>0</v>
      </c>
      <c r="J7" s="1"/>
      <c r="K7" s="1"/>
      <c r="L7" s="1"/>
      <c r="M7" s="41">
        <f t="shared" si="0"/>
        <v>0</v>
      </c>
    </row>
    <row r="8" spans="1:13" x14ac:dyDescent="0.3">
      <c r="A8" s="5"/>
      <c r="B8" s="1" t="s">
        <v>17</v>
      </c>
      <c r="C8" s="1">
        <v>2000</v>
      </c>
      <c r="D8" s="1">
        <v>650</v>
      </c>
      <c r="E8" s="7">
        <f t="shared" ref="E8:E10" si="2">C8*D8</f>
        <v>1300000</v>
      </c>
      <c r="F8" s="65" t="s">
        <v>17</v>
      </c>
      <c r="G8" s="65">
        <v>1600</v>
      </c>
      <c r="H8" s="66">
        <v>560</v>
      </c>
      <c r="I8" s="67">
        <f t="shared" si="1"/>
        <v>896000</v>
      </c>
      <c r="J8" s="1"/>
      <c r="K8" s="1"/>
      <c r="L8" s="1"/>
      <c r="M8" s="41">
        <f t="shared" si="0"/>
        <v>0</v>
      </c>
    </row>
    <row r="9" spans="1:13" x14ac:dyDescent="0.3">
      <c r="A9" s="5"/>
      <c r="B9" s="1" t="s">
        <v>47</v>
      </c>
      <c r="C9" s="1">
        <v>500</v>
      </c>
      <c r="D9" s="1">
        <v>800</v>
      </c>
      <c r="E9" s="7">
        <f t="shared" si="2"/>
        <v>400000</v>
      </c>
      <c r="F9" s="65" t="s">
        <v>47</v>
      </c>
      <c r="G9" s="65">
        <f>G8+E9-SUM(F9)</f>
        <v>401600</v>
      </c>
      <c r="H9" s="66"/>
      <c r="I9" s="67">
        <f>G9*H9</f>
        <v>0</v>
      </c>
      <c r="J9" s="1"/>
      <c r="K9" s="1"/>
      <c r="L9" s="1"/>
      <c r="M9" s="41">
        <f t="shared" si="0"/>
        <v>0</v>
      </c>
    </row>
    <row r="10" spans="1:13" x14ac:dyDescent="0.3">
      <c r="A10" s="44"/>
      <c r="B10" s="45" t="s">
        <v>68</v>
      </c>
      <c r="C10" s="45">
        <v>500</v>
      </c>
      <c r="D10" s="45">
        <v>1400</v>
      </c>
      <c r="E10" s="7">
        <f t="shared" si="2"/>
        <v>700000</v>
      </c>
      <c r="F10" s="65">
        <v>0</v>
      </c>
      <c r="G10" s="65">
        <f>G9+E10-SUM(F10)</f>
        <v>1101600</v>
      </c>
      <c r="H10" s="66"/>
      <c r="I10" s="67">
        <f>G10*H10</f>
        <v>0</v>
      </c>
      <c r="J10" s="1"/>
      <c r="K10" s="1"/>
      <c r="L10" s="1"/>
      <c r="M10" s="41">
        <f t="shared" si="0"/>
        <v>0</v>
      </c>
    </row>
    <row r="11" spans="1:13" s="2" customFormat="1" x14ac:dyDescent="0.3">
      <c r="A11" s="61"/>
      <c r="B11" s="62" t="s">
        <v>70</v>
      </c>
      <c r="C11" s="64">
        <v>15</v>
      </c>
      <c r="D11" s="62">
        <v>30000</v>
      </c>
      <c r="E11" s="63">
        <f>D11*C11</f>
        <v>450000</v>
      </c>
      <c r="F11" s="68" t="s">
        <v>70</v>
      </c>
      <c r="G11" s="68">
        <v>10</v>
      </c>
      <c r="H11" s="69">
        <v>30000</v>
      </c>
      <c r="I11" s="67">
        <f t="shared" si="1"/>
        <v>300000</v>
      </c>
      <c r="J11" s="41" t="s">
        <v>47</v>
      </c>
      <c r="K11" s="41">
        <v>5</v>
      </c>
      <c r="L11" s="41">
        <v>30000</v>
      </c>
      <c r="M11" s="41">
        <f>K11*L11</f>
        <v>150000</v>
      </c>
    </row>
    <row r="12" spans="1:13" x14ac:dyDescent="0.3">
      <c r="A12" s="44"/>
      <c r="B12" s="45" t="s">
        <v>71</v>
      </c>
      <c r="C12" s="45">
        <v>25000</v>
      </c>
      <c r="D12" s="45">
        <v>20</v>
      </c>
      <c r="E12" s="46">
        <f>D12*C12</f>
        <v>500000</v>
      </c>
      <c r="F12" s="65"/>
      <c r="G12" s="65"/>
      <c r="H12" s="66"/>
      <c r="I12" s="67">
        <f t="shared" si="1"/>
        <v>0</v>
      </c>
      <c r="J12" s="1"/>
      <c r="K12" s="1"/>
      <c r="L12" s="1"/>
      <c r="M12" s="41">
        <f t="shared" ref="M12:M21" si="3">K12*L12</f>
        <v>0</v>
      </c>
    </row>
    <row r="13" spans="1:13" x14ac:dyDescent="0.3">
      <c r="A13" s="5"/>
      <c r="B13" s="1" t="s">
        <v>31</v>
      </c>
      <c r="C13" s="1">
        <v>100</v>
      </c>
      <c r="D13" s="1">
        <v>2000</v>
      </c>
      <c r="E13" s="46">
        <f t="shared" ref="E13:E15" si="4">D13*C13</f>
        <v>200000</v>
      </c>
      <c r="F13" s="65"/>
      <c r="G13" s="65"/>
      <c r="H13" s="66"/>
      <c r="I13" s="67">
        <f t="shared" si="1"/>
        <v>0</v>
      </c>
      <c r="J13" s="1"/>
      <c r="K13" s="1"/>
      <c r="L13" s="1"/>
      <c r="M13" s="41">
        <f t="shared" si="3"/>
        <v>0</v>
      </c>
    </row>
    <row r="14" spans="1:13" x14ac:dyDescent="0.3">
      <c r="A14" s="5"/>
      <c r="B14" s="1" t="s">
        <v>72</v>
      </c>
      <c r="C14" s="1">
        <v>200</v>
      </c>
      <c r="D14" s="1">
        <v>1600</v>
      </c>
      <c r="E14" s="46">
        <f t="shared" si="4"/>
        <v>320000</v>
      </c>
      <c r="F14" s="65"/>
      <c r="G14" s="65"/>
      <c r="H14" s="66"/>
      <c r="I14" s="67">
        <f t="shared" si="1"/>
        <v>0</v>
      </c>
      <c r="J14" s="1"/>
      <c r="K14" s="1"/>
      <c r="L14" s="1"/>
      <c r="M14" s="41">
        <f t="shared" si="3"/>
        <v>0</v>
      </c>
    </row>
    <row r="15" spans="1:13" x14ac:dyDescent="0.3">
      <c r="A15" s="5"/>
      <c r="B15" s="1" t="s">
        <v>73</v>
      </c>
      <c r="C15" s="1">
        <v>40</v>
      </c>
      <c r="D15" s="1">
        <v>12000</v>
      </c>
      <c r="E15" s="46">
        <f t="shared" si="4"/>
        <v>480000</v>
      </c>
      <c r="F15" s="65"/>
      <c r="G15" s="65"/>
      <c r="H15" s="66"/>
      <c r="I15" s="67">
        <f t="shared" si="1"/>
        <v>0</v>
      </c>
      <c r="J15" s="1"/>
      <c r="K15" s="1"/>
      <c r="L15" s="1"/>
      <c r="M15" s="41">
        <f t="shared" si="3"/>
        <v>0</v>
      </c>
    </row>
    <row r="16" spans="1:13" x14ac:dyDescent="0.3">
      <c r="A16" s="5"/>
      <c r="B16" s="1"/>
      <c r="C16" s="1"/>
      <c r="D16" s="1"/>
      <c r="E16" s="46"/>
      <c r="F16" s="65"/>
      <c r="G16" s="65"/>
      <c r="H16" s="66"/>
      <c r="I16" s="67">
        <f t="shared" si="1"/>
        <v>0</v>
      </c>
      <c r="J16" s="1"/>
      <c r="K16" s="1"/>
      <c r="L16" s="1"/>
      <c r="M16" s="41">
        <f t="shared" si="3"/>
        <v>0</v>
      </c>
    </row>
    <row r="17" spans="1:13" x14ac:dyDescent="0.3">
      <c r="A17" s="1"/>
      <c r="B17" s="1"/>
      <c r="C17" s="1"/>
      <c r="D17" s="1"/>
      <c r="E17" s="46"/>
      <c r="F17" s="65"/>
      <c r="G17" s="65"/>
      <c r="H17" s="66"/>
      <c r="I17" s="66"/>
      <c r="J17" s="1"/>
      <c r="K17" s="1"/>
      <c r="L17" s="1"/>
      <c r="M17" s="41">
        <f t="shared" si="3"/>
        <v>0</v>
      </c>
    </row>
    <row r="18" spans="1:13" x14ac:dyDescent="0.3">
      <c r="A18" s="1"/>
      <c r="B18" s="1"/>
      <c r="C18" s="1"/>
      <c r="D18" s="1"/>
      <c r="E18" s="46">
        <f t="shared" ref="E18:E21" si="5">C18*D18</f>
        <v>0</v>
      </c>
      <c r="F18" s="65"/>
      <c r="G18" s="65">
        <f t="shared" ref="G9:G21" si="6">G17+E18-F18</f>
        <v>0</v>
      </c>
      <c r="H18" s="66"/>
      <c r="I18" s="66"/>
      <c r="J18" s="1"/>
      <c r="K18" s="1"/>
      <c r="L18" s="1"/>
      <c r="M18" s="41">
        <f t="shared" si="3"/>
        <v>0</v>
      </c>
    </row>
    <row r="19" spans="1:13" x14ac:dyDescent="0.3">
      <c r="A19" s="1"/>
      <c r="B19" s="1"/>
      <c r="C19" s="1"/>
      <c r="D19" s="1"/>
      <c r="E19" s="46">
        <f t="shared" si="5"/>
        <v>0</v>
      </c>
      <c r="F19" s="65"/>
      <c r="G19" s="65">
        <f t="shared" si="6"/>
        <v>0</v>
      </c>
      <c r="H19" s="66"/>
      <c r="I19" s="66"/>
      <c r="J19" s="1"/>
      <c r="K19" s="1"/>
      <c r="L19" s="1"/>
      <c r="M19" s="41">
        <f t="shared" si="3"/>
        <v>0</v>
      </c>
    </row>
    <row r="20" spans="1:13" x14ac:dyDescent="0.3">
      <c r="A20" s="1"/>
      <c r="B20" s="1"/>
      <c r="C20" s="1"/>
      <c r="D20" s="1"/>
      <c r="E20" s="46">
        <f t="shared" si="5"/>
        <v>0</v>
      </c>
      <c r="F20" s="65"/>
      <c r="G20" s="65">
        <f t="shared" si="6"/>
        <v>0</v>
      </c>
      <c r="H20" s="66"/>
      <c r="I20" s="66"/>
      <c r="J20" s="1"/>
      <c r="K20" s="1"/>
      <c r="L20" s="1"/>
      <c r="M20" s="41">
        <f t="shared" si="3"/>
        <v>0</v>
      </c>
    </row>
    <row r="21" spans="1:13" x14ac:dyDescent="0.3">
      <c r="A21" s="1"/>
      <c r="B21" s="1"/>
      <c r="C21" s="1"/>
      <c r="D21" s="1"/>
      <c r="E21" s="46">
        <f t="shared" si="5"/>
        <v>0</v>
      </c>
      <c r="F21" s="65"/>
      <c r="G21" s="65">
        <f t="shared" si="6"/>
        <v>0</v>
      </c>
      <c r="H21" s="66"/>
      <c r="I21" s="66"/>
      <c r="J21" s="1"/>
      <c r="K21" s="1"/>
      <c r="L21" s="1"/>
      <c r="M21" s="41">
        <f t="shared" si="3"/>
        <v>0</v>
      </c>
    </row>
    <row r="22" spans="1:13" x14ac:dyDescent="0.3">
      <c r="A22" s="59"/>
      <c r="B22" s="59"/>
      <c r="C22" s="59"/>
      <c r="D22" s="59"/>
      <c r="E22" s="60">
        <f>SUM(E6:E21)</f>
        <v>6390000</v>
      </c>
      <c r="F22" s="60"/>
      <c r="G22" s="60"/>
    </row>
    <row r="23" spans="1:13" x14ac:dyDescent="0.3">
      <c r="A23" s="1"/>
      <c r="B23" s="1"/>
      <c r="C23" s="1"/>
      <c r="D23" s="1"/>
      <c r="E23" s="7"/>
      <c r="F23" s="7"/>
      <c r="G23" s="7"/>
    </row>
    <row r="24" spans="1:13" x14ac:dyDescent="0.3">
      <c r="A24" s="1"/>
      <c r="B24" s="1"/>
      <c r="C24" s="1"/>
      <c r="D24" s="1"/>
      <c r="E24" s="7"/>
      <c r="F24" s="7"/>
      <c r="G24" s="7"/>
    </row>
    <row r="25" spans="1:13" x14ac:dyDescent="0.3">
      <c r="A25" s="1"/>
      <c r="B25" s="1"/>
      <c r="C25" s="1"/>
      <c r="D25" s="1"/>
      <c r="E25" s="7"/>
      <c r="F25" s="7"/>
      <c r="G25" s="7"/>
    </row>
    <row r="26" spans="1:13" x14ac:dyDescent="0.3">
      <c r="A26" s="1"/>
      <c r="B26" s="1"/>
      <c r="C26" s="1"/>
      <c r="D26" s="1"/>
      <c r="E26" s="7"/>
      <c r="F26" s="7"/>
      <c r="G26" s="7"/>
    </row>
    <row r="27" spans="1:13" x14ac:dyDescent="0.3">
      <c r="A27" s="1"/>
      <c r="B27" s="1"/>
      <c r="C27" s="1"/>
      <c r="D27" s="1"/>
      <c r="E27" s="7"/>
      <c r="F27" s="7"/>
      <c r="G27" s="7"/>
    </row>
    <row r="28" spans="1:13" x14ac:dyDescent="0.3">
      <c r="A28" s="1"/>
      <c r="B28" s="1"/>
      <c r="C28" s="1"/>
      <c r="D28" s="1"/>
      <c r="E28" s="7"/>
      <c r="F28" s="7"/>
      <c r="G28" s="7"/>
    </row>
    <row r="29" spans="1:13" x14ac:dyDescent="0.3">
      <c r="A29" s="1"/>
      <c r="B29" s="1"/>
      <c r="C29" s="1"/>
      <c r="D29" s="1"/>
      <c r="E29" s="7"/>
      <c r="F29" s="7"/>
      <c r="G29" s="7"/>
    </row>
    <row r="30" spans="1:13" x14ac:dyDescent="0.3">
      <c r="A30" s="1"/>
      <c r="B30" s="1"/>
      <c r="C30" s="1"/>
      <c r="D30" s="1"/>
      <c r="E30" s="7"/>
      <c r="F30" s="7"/>
      <c r="G30" s="7"/>
    </row>
    <row r="31" spans="1:13" x14ac:dyDescent="0.3">
      <c r="A31" s="1"/>
      <c r="B31" s="1"/>
      <c r="C31" s="1"/>
      <c r="D31" s="1"/>
      <c r="E31" s="7"/>
      <c r="F31" s="7"/>
      <c r="G31" s="7"/>
    </row>
    <row r="32" spans="1:13" x14ac:dyDescent="0.3">
      <c r="A32" s="1"/>
      <c r="B32" s="1"/>
      <c r="C32" s="1"/>
      <c r="D32" s="1"/>
      <c r="E32" s="7"/>
      <c r="F32" s="7"/>
      <c r="G32" s="7"/>
    </row>
    <row r="33" spans="1:7" x14ac:dyDescent="0.3">
      <c r="A33" s="1"/>
      <c r="B33" s="1"/>
      <c r="C33" s="1"/>
      <c r="D33" s="1"/>
      <c r="E33" s="7"/>
      <c r="F33" s="7"/>
      <c r="G33" s="7"/>
    </row>
    <row r="34" spans="1:7" x14ac:dyDescent="0.3">
      <c r="A34" s="1"/>
      <c r="B34" s="1"/>
      <c r="C34" s="1"/>
      <c r="D34" s="1"/>
      <c r="E34" s="7"/>
      <c r="F34" s="7"/>
      <c r="G34" s="7"/>
    </row>
    <row r="35" spans="1:7" x14ac:dyDescent="0.3">
      <c r="A35" s="1"/>
      <c r="B35" s="1"/>
      <c r="C35" s="1"/>
      <c r="D35" s="1"/>
      <c r="E35" s="7"/>
      <c r="F35" s="7"/>
      <c r="G35" s="7"/>
    </row>
    <row r="36" spans="1:7" x14ac:dyDescent="0.3">
      <c r="A36" s="1"/>
      <c r="B36" s="1"/>
      <c r="C36" s="1"/>
      <c r="D36" s="1"/>
      <c r="E36" s="7"/>
      <c r="F36" s="7"/>
      <c r="G36" s="7"/>
    </row>
    <row r="37" spans="1:7" x14ac:dyDescent="0.3">
      <c r="A37" s="1"/>
      <c r="B37" s="1"/>
      <c r="C37" s="1"/>
      <c r="D37" s="1"/>
      <c r="E37" s="7"/>
      <c r="F37" s="7"/>
      <c r="G37" s="7"/>
    </row>
    <row r="38" spans="1:7" x14ac:dyDescent="0.3">
      <c r="A38" s="1"/>
      <c r="B38" s="1"/>
      <c r="C38" s="1"/>
      <c r="D38" s="1"/>
      <c r="E38" s="7"/>
      <c r="F38" s="7"/>
      <c r="G38" s="7"/>
    </row>
    <row r="39" spans="1:7" x14ac:dyDescent="0.3">
      <c r="A39" s="1"/>
      <c r="B39" s="1"/>
      <c r="C39" s="1"/>
      <c r="D39" s="1"/>
      <c r="E39" s="7"/>
      <c r="F39" s="7"/>
      <c r="G39" s="7"/>
    </row>
    <row r="40" spans="1:7" x14ac:dyDescent="0.3">
      <c r="A40" s="1"/>
      <c r="B40" s="1"/>
      <c r="C40" s="1"/>
      <c r="D40" s="1"/>
      <c r="E40" s="7"/>
      <c r="F40" s="7"/>
      <c r="G40" s="7"/>
    </row>
    <row r="41" spans="1:7" x14ac:dyDescent="0.3">
      <c r="A41" s="1"/>
      <c r="B41" s="1"/>
      <c r="C41" s="1"/>
      <c r="D41" s="1"/>
      <c r="E41" s="7"/>
      <c r="F41" s="7"/>
      <c r="G41" s="7"/>
    </row>
    <row r="42" spans="1:7" x14ac:dyDescent="0.3">
      <c r="A42" s="1"/>
      <c r="B42" s="1"/>
      <c r="C42" s="1"/>
      <c r="D42" s="1"/>
      <c r="E42" s="7"/>
      <c r="F42" s="7"/>
      <c r="G42" s="7"/>
    </row>
    <row r="43" spans="1:7" x14ac:dyDescent="0.3">
      <c r="A43" s="1"/>
      <c r="B43" s="1"/>
      <c r="C43" s="1"/>
      <c r="D43" s="1"/>
      <c r="E43" s="7"/>
      <c r="F43" s="7"/>
      <c r="G43" s="7"/>
    </row>
    <row r="44" spans="1:7" x14ac:dyDescent="0.3">
      <c r="A44" s="1"/>
      <c r="B44" s="1"/>
      <c r="C44" s="1"/>
      <c r="D44" s="1"/>
      <c r="E44" s="7"/>
      <c r="F44" s="7"/>
      <c r="G44" s="7"/>
    </row>
    <row r="45" spans="1:7" x14ac:dyDescent="0.3">
      <c r="A45" s="1"/>
      <c r="B45" s="1"/>
      <c r="C45" s="1"/>
      <c r="D45" s="1"/>
      <c r="E45" s="7"/>
      <c r="F45" s="7"/>
      <c r="G45" s="7"/>
    </row>
    <row r="46" spans="1:7" x14ac:dyDescent="0.3">
      <c r="A46" s="1"/>
      <c r="B46" s="1"/>
      <c r="C46" s="1"/>
      <c r="D46" s="1"/>
      <c r="E46" s="7"/>
      <c r="F46" s="7"/>
      <c r="G46" s="7"/>
    </row>
    <row r="47" spans="1:7" x14ac:dyDescent="0.3">
      <c r="A47" s="1"/>
      <c r="B47" s="1"/>
      <c r="C47" s="1"/>
      <c r="D47" s="1"/>
      <c r="E47" s="7"/>
      <c r="F47" s="7"/>
      <c r="G47" s="7"/>
    </row>
    <row r="48" spans="1:7" x14ac:dyDescent="0.3">
      <c r="A48" s="1"/>
      <c r="B48" s="1"/>
      <c r="C48" s="1"/>
      <c r="D48" s="1"/>
      <c r="E48" s="7"/>
      <c r="F48" s="7"/>
      <c r="G48" s="7"/>
    </row>
    <row r="49" spans="1:7" x14ac:dyDescent="0.3">
      <c r="A49" s="1"/>
      <c r="B49" s="1"/>
      <c r="C49" s="1"/>
      <c r="D49" s="1"/>
      <c r="E49" s="7"/>
      <c r="F49" s="7"/>
      <c r="G49" s="7"/>
    </row>
    <row r="50" spans="1:7" x14ac:dyDescent="0.3">
      <c r="A50" s="1"/>
      <c r="B50" s="1"/>
      <c r="C50" s="1"/>
      <c r="D50" s="1"/>
      <c r="E50" s="7"/>
      <c r="F50" s="7"/>
      <c r="G50" s="7"/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54"/>
  <sheetViews>
    <sheetView topLeftCell="A37" zoomScale="91" workbookViewId="0">
      <selection activeCell="E49" sqref="E49"/>
    </sheetView>
  </sheetViews>
  <sheetFormatPr defaultRowHeight="14.4" x14ac:dyDescent="0.3"/>
  <cols>
    <col min="1" max="1" width="18.33203125" customWidth="1"/>
    <col min="2" max="2" width="19.77734375" customWidth="1"/>
    <col min="3" max="3" width="39.109375" customWidth="1"/>
    <col min="4" max="4" width="30.44140625" customWidth="1"/>
    <col min="5" max="5" width="20.21875" customWidth="1"/>
    <col min="6" max="6" width="19.5546875" style="8" customWidth="1"/>
    <col min="7" max="7" width="18.6640625" style="8" customWidth="1"/>
    <col min="8" max="8" width="17.21875" customWidth="1"/>
    <col min="9" max="9" width="18.33203125" customWidth="1"/>
    <col min="10" max="11" width="14.77734375" customWidth="1"/>
    <col min="12" max="12" width="16.6640625" customWidth="1"/>
    <col min="13" max="13" width="25.88671875" customWidth="1"/>
    <col min="17" max="17" width="9.109375" style="8" customWidth="1"/>
  </cols>
  <sheetData>
    <row r="1" spans="1:13" ht="21" x14ac:dyDescent="0.4">
      <c r="C1" s="31"/>
    </row>
    <row r="2" spans="1:13" x14ac:dyDescent="0.3">
      <c r="B2" s="145" t="s">
        <v>155</v>
      </c>
      <c r="L2" s="25"/>
      <c r="M2" s="25"/>
    </row>
    <row r="3" spans="1:13" s="3" customFormat="1" ht="21" x14ac:dyDescent="0.4">
      <c r="A3" s="4" t="s">
        <v>0</v>
      </c>
      <c r="B3" s="4" t="s">
        <v>2</v>
      </c>
      <c r="C3" s="4" t="s">
        <v>1</v>
      </c>
      <c r="D3" s="4" t="s">
        <v>3</v>
      </c>
      <c r="E3" s="4" t="s">
        <v>4</v>
      </c>
      <c r="F3" s="6" t="s">
        <v>5</v>
      </c>
      <c r="G3" s="6" t="s">
        <v>6</v>
      </c>
      <c r="J3" s="113"/>
      <c r="K3" s="113"/>
      <c r="L3" s="113"/>
      <c r="M3" s="113"/>
    </row>
    <row r="4" spans="1:13" x14ac:dyDescent="0.3">
      <c r="A4" s="30">
        <v>46114</v>
      </c>
      <c r="B4" s="1">
        <v>103346025</v>
      </c>
      <c r="C4" s="1" t="s">
        <v>27</v>
      </c>
      <c r="D4" s="1" t="s">
        <v>151</v>
      </c>
      <c r="E4" s="1"/>
      <c r="F4" s="7">
        <v>25627</v>
      </c>
      <c r="G4" s="7">
        <v>340800</v>
      </c>
      <c r="J4" s="25"/>
      <c r="K4" s="106"/>
      <c r="L4" s="25"/>
      <c r="M4" s="25"/>
    </row>
    <row r="5" spans="1:13" x14ac:dyDescent="0.3">
      <c r="A5" s="30">
        <v>46114</v>
      </c>
      <c r="B5" s="1"/>
      <c r="C5" s="1" t="s">
        <v>154</v>
      </c>
      <c r="D5" s="1" t="s">
        <v>9</v>
      </c>
      <c r="E5" s="1"/>
      <c r="F5" s="17">
        <v>983898</v>
      </c>
      <c r="G5" s="55">
        <v>6450000</v>
      </c>
      <c r="J5" s="25"/>
      <c r="K5" s="106"/>
      <c r="L5" s="25"/>
      <c r="M5" s="25"/>
    </row>
    <row r="6" spans="1:13" x14ac:dyDescent="0.3">
      <c r="A6" s="53">
        <v>46114</v>
      </c>
      <c r="B6" s="54"/>
      <c r="C6" s="54" t="s">
        <v>141</v>
      </c>
      <c r="D6" s="54" t="s">
        <v>80</v>
      </c>
      <c r="E6" s="54"/>
      <c r="F6" s="55">
        <v>63457</v>
      </c>
      <c r="G6" s="7">
        <v>416000</v>
      </c>
      <c r="J6" s="25"/>
      <c r="K6" s="106"/>
      <c r="L6" s="25"/>
      <c r="M6" s="25"/>
    </row>
    <row r="7" spans="1:13" x14ac:dyDescent="0.3">
      <c r="A7" s="30">
        <v>46116</v>
      </c>
      <c r="B7" s="1"/>
      <c r="C7" s="1" t="s">
        <v>152</v>
      </c>
      <c r="D7" s="22" t="s">
        <v>81</v>
      </c>
      <c r="E7" s="22"/>
      <c r="F7" s="17">
        <v>7337</v>
      </c>
      <c r="G7" s="7">
        <v>48100</v>
      </c>
      <c r="J7" s="25"/>
      <c r="K7" s="106"/>
      <c r="L7" s="25"/>
      <c r="M7" s="25"/>
    </row>
    <row r="8" spans="1:13" x14ac:dyDescent="0.3">
      <c r="A8" s="53">
        <v>46115</v>
      </c>
      <c r="B8" s="54"/>
      <c r="C8" s="54" t="s">
        <v>15</v>
      </c>
      <c r="D8" s="54" t="s">
        <v>16</v>
      </c>
      <c r="E8" s="54"/>
      <c r="F8" s="19">
        <v>3052</v>
      </c>
      <c r="G8" s="13">
        <v>20000</v>
      </c>
      <c r="J8" s="25"/>
      <c r="K8" s="106"/>
      <c r="L8" s="25"/>
      <c r="M8" s="25"/>
    </row>
    <row r="9" spans="1:13" x14ac:dyDescent="0.3">
      <c r="A9" s="53">
        <v>46115</v>
      </c>
      <c r="B9" s="54"/>
      <c r="C9" s="54" t="s">
        <v>15</v>
      </c>
      <c r="D9" s="54" t="s">
        <v>16</v>
      </c>
      <c r="E9" s="54"/>
      <c r="F9" s="19">
        <v>8319</v>
      </c>
      <c r="G9" s="7">
        <v>54538</v>
      </c>
      <c r="J9" s="25"/>
      <c r="K9" s="106"/>
      <c r="L9" s="25"/>
      <c r="M9" s="25"/>
    </row>
    <row r="10" spans="1:13" x14ac:dyDescent="0.3">
      <c r="A10" s="53">
        <v>46114</v>
      </c>
      <c r="B10" s="54"/>
      <c r="C10" s="54" t="s">
        <v>15</v>
      </c>
      <c r="D10" s="54" t="s">
        <v>16</v>
      </c>
      <c r="E10" s="54"/>
      <c r="F10" s="19">
        <v>10822</v>
      </c>
      <c r="G10" s="7">
        <v>70948</v>
      </c>
      <c r="J10" s="25"/>
      <c r="K10" s="106"/>
      <c r="L10" s="25"/>
      <c r="M10" s="25"/>
    </row>
    <row r="11" spans="1:13" x14ac:dyDescent="0.3">
      <c r="A11" s="53">
        <v>46114</v>
      </c>
      <c r="B11" s="138"/>
      <c r="C11" s="54" t="s">
        <v>15</v>
      </c>
      <c r="D11" s="54" t="s">
        <v>16</v>
      </c>
      <c r="E11" s="54"/>
      <c r="F11" s="19">
        <v>2311</v>
      </c>
      <c r="G11" s="7">
        <v>15156</v>
      </c>
      <c r="J11" s="25"/>
      <c r="K11" s="106"/>
      <c r="L11" s="25"/>
      <c r="M11" s="25"/>
    </row>
    <row r="12" spans="1:13" x14ac:dyDescent="0.3">
      <c r="A12" s="53">
        <v>46113</v>
      </c>
      <c r="B12" s="54"/>
      <c r="C12" s="54" t="s">
        <v>15</v>
      </c>
      <c r="D12" s="54" t="s">
        <v>16</v>
      </c>
      <c r="E12" s="54"/>
      <c r="F12" s="19">
        <v>3331</v>
      </c>
      <c r="G12" s="7">
        <v>21838</v>
      </c>
      <c r="J12" s="25"/>
      <c r="K12" s="106"/>
      <c r="L12" s="25"/>
      <c r="M12" s="25"/>
    </row>
    <row r="13" spans="1:13" x14ac:dyDescent="0.3">
      <c r="A13" s="53">
        <v>46116</v>
      </c>
      <c r="B13" s="54"/>
      <c r="C13" s="54" t="s">
        <v>153</v>
      </c>
      <c r="D13" s="54" t="s">
        <v>16</v>
      </c>
      <c r="E13" s="54"/>
      <c r="F13" s="55">
        <v>11224</v>
      </c>
      <c r="G13" s="55">
        <v>73581</v>
      </c>
      <c r="J13" s="25"/>
      <c r="K13" s="106"/>
      <c r="L13" s="25"/>
      <c r="M13" s="25"/>
    </row>
    <row r="14" spans="1:13" x14ac:dyDescent="0.3">
      <c r="A14" s="53">
        <v>46118</v>
      </c>
      <c r="B14" s="54"/>
      <c r="C14" s="54" t="s">
        <v>15</v>
      </c>
      <c r="D14" s="54" t="s">
        <v>16</v>
      </c>
      <c r="E14" s="54"/>
      <c r="F14" s="55">
        <v>5037</v>
      </c>
      <c r="G14" s="55">
        <v>33025</v>
      </c>
      <c r="H14" s="20" t="s">
        <v>72</v>
      </c>
      <c r="I14" s="7">
        <v>6450000</v>
      </c>
      <c r="J14" s="25"/>
      <c r="K14" s="106"/>
      <c r="L14" s="25"/>
      <c r="M14" s="25"/>
    </row>
    <row r="15" spans="1:13" x14ac:dyDescent="0.3">
      <c r="A15" s="53">
        <v>46118</v>
      </c>
      <c r="C15" s="54" t="s">
        <v>15</v>
      </c>
      <c r="D15" s="54" t="s">
        <v>16</v>
      </c>
      <c r="E15" s="54"/>
      <c r="F15" s="55">
        <v>664</v>
      </c>
      <c r="G15" s="55">
        <v>43688</v>
      </c>
      <c r="I15" s="19">
        <v>6600000</v>
      </c>
      <c r="J15" s="25"/>
      <c r="K15" s="106"/>
      <c r="L15" s="25"/>
      <c r="M15" s="25"/>
    </row>
    <row r="16" spans="1:13" x14ac:dyDescent="0.3">
      <c r="A16" s="53">
        <v>46120</v>
      </c>
      <c r="B16" s="54"/>
      <c r="C16" s="54" t="s">
        <v>37</v>
      </c>
      <c r="D16" s="162" t="s">
        <v>56</v>
      </c>
      <c r="E16" s="162"/>
      <c r="F16" s="55">
        <v>12203</v>
      </c>
      <c r="G16" s="55">
        <v>80000</v>
      </c>
      <c r="I16" s="7">
        <v>3075000</v>
      </c>
      <c r="J16" s="25"/>
      <c r="K16" s="106"/>
      <c r="L16" s="25"/>
      <c r="M16" s="25"/>
    </row>
    <row r="17" spans="1:13" x14ac:dyDescent="0.3">
      <c r="A17" s="9">
        <v>46118</v>
      </c>
      <c r="C17" s="169" t="s">
        <v>174</v>
      </c>
      <c r="D17" s="168" t="s">
        <v>173</v>
      </c>
      <c r="E17" s="1"/>
      <c r="F17" s="8">
        <v>24406</v>
      </c>
      <c r="G17" s="8">
        <v>160000</v>
      </c>
      <c r="H17" t="s">
        <v>124</v>
      </c>
      <c r="I17" s="81">
        <v>275225</v>
      </c>
      <c r="J17" s="25"/>
      <c r="K17" s="107"/>
      <c r="L17" s="25"/>
      <c r="M17" s="25"/>
    </row>
    <row r="18" spans="1:13" x14ac:dyDescent="0.3">
      <c r="A18" s="53">
        <v>46121</v>
      </c>
      <c r="B18" s="54"/>
      <c r="C18" s="54" t="s">
        <v>15</v>
      </c>
      <c r="D18" s="54" t="s">
        <v>16</v>
      </c>
      <c r="E18" s="54"/>
      <c r="F18" s="55">
        <v>13451</v>
      </c>
      <c r="G18" s="55">
        <v>88182</v>
      </c>
      <c r="I18" s="81">
        <v>913200</v>
      </c>
      <c r="J18" s="25"/>
      <c r="K18" s="108"/>
      <c r="L18" s="25"/>
      <c r="M18" s="25"/>
    </row>
    <row r="19" spans="1:13" x14ac:dyDescent="0.3">
      <c r="A19" s="53">
        <v>46126</v>
      </c>
      <c r="B19" s="54"/>
      <c r="C19" s="54" t="s">
        <v>175</v>
      </c>
      <c r="D19" s="54" t="s">
        <v>176</v>
      </c>
      <c r="E19" s="54"/>
      <c r="F19" s="55">
        <v>1006780</v>
      </c>
      <c r="G19" s="55">
        <v>6600000</v>
      </c>
      <c r="I19" s="81">
        <v>2300000</v>
      </c>
      <c r="J19" s="25"/>
      <c r="K19" s="106"/>
      <c r="L19" s="25"/>
      <c r="M19" s="25"/>
    </row>
    <row r="20" spans="1:13" x14ac:dyDescent="0.3">
      <c r="A20" s="53">
        <v>46125</v>
      </c>
      <c r="B20" s="54"/>
      <c r="C20" s="54" t="s">
        <v>177</v>
      </c>
      <c r="D20" s="54" t="s">
        <v>63</v>
      </c>
      <c r="E20" s="54"/>
      <c r="F20" s="55">
        <v>8237</v>
      </c>
      <c r="G20" s="55">
        <v>54000</v>
      </c>
      <c r="I20" s="81"/>
      <c r="J20" s="25"/>
      <c r="K20" s="106"/>
      <c r="L20" s="25"/>
      <c r="M20" s="25"/>
    </row>
    <row r="21" spans="1:13" x14ac:dyDescent="0.3">
      <c r="A21" s="53">
        <v>46126</v>
      </c>
      <c r="B21" s="54"/>
      <c r="C21" s="54" t="s">
        <v>15</v>
      </c>
      <c r="D21" s="54" t="s">
        <v>16</v>
      </c>
      <c r="E21" s="54"/>
      <c r="F21" s="55">
        <v>7655</v>
      </c>
      <c r="G21" s="55">
        <v>50182</v>
      </c>
      <c r="I21" s="144">
        <f>SUM(I14:I20)</f>
        <v>19613425</v>
      </c>
      <c r="J21" s="25"/>
      <c r="K21" s="106"/>
      <c r="L21" s="25"/>
      <c r="M21" s="25"/>
    </row>
    <row r="22" spans="1:13" x14ac:dyDescent="0.3">
      <c r="A22" s="53">
        <v>46122</v>
      </c>
      <c r="B22" s="54"/>
      <c r="C22" s="54" t="s">
        <v>15</v>
      </c>
      <c r="D22" s="54" t="s">
        <v>16</v>
      </c>
      <c r="E22" s="54"/>
      <c r="F22" s="55">
        <v>11586</v>
      </c>
      <c r="G22" s="55">
        <v>75953</v>
      </c>
      <c r="H22" t="s">
        <v>125</v>
      </c>
      <c r="I22" s="8">
        <f>C49</f>
        <v>20459250</v>
      </c>
      <c r="J22" s="25"/>
      <c r="K22" s="106"/>
      <c r="L22" s="25"/>
      <c r="M22" s="25"/>
    </row>
    <row r="23" spans="1:13" x14ac:dyDescent="0.3">
      <c r="A23" s="53">
        <v>46125</v>
      </c>
      <c r="B23" s="54"/>
      <c r="C23" s="54" t="s">
        <v>15</v>
      </c>
      <c r="D23" s="54" t="s">
        <v>16</v>
      </c>
      <c r="E23" s="54"/>
      <c r="F23" s="55">
        <v>13118</v>
      </c>
      <c r="G23" s="55">
        <v>85994</v>
      </c>
      <c r="J23" s="25"/>
      <c r="K23" s="106"/>
      <c r="L23" s="25"/>
      <c r="M23" s="25"/>
    </row>
    <row r="24" spans="1:13" x14ac:dyDescent="0.3">
      <c r="A24" s="53">
        <v>46125</v>
      </c>
      <c r="B24" s="54"/>
      <c r="C24" s="54" t="s">
        <v>101</v>
      </c>
      <c r="D24" s="54" t="s">
        <v>59</v>
      </c>
      <c r="E24" s="54"/>
      <c r="F24" s="55">
        <v>273288</v>
      </c>
      <c r="G24" s="55">
        <v>1791552</v>
      </c>
      <c r="H24" t="s">
        <v>78</v>
      </c>
      <c r="I24" s="20">
        <f>I21-I22</f>
        <v>-845825</v>
      </c>
      <c r="J24" s="25"/>
      <c r="K24" s="106"/>
      <c r="L24" s="25"/>
      <c r="M24" s="25"/>
    </row>
    <row r="25" spans="1:13" x14ac:dyDescent="0.3">
      <c r="A25" s="53">
        <v>46129</v>
      </c>
      <c r="B25" s="54"/>
      <c r="C25" s="54" t="s">
        <v>15</v>
      </c>
      <c r="D25" s="54" t="s">
        <v>16</v>
      </c>
      <c r="E25" s="54"/>
      <c r="F25" s="55">
        <v>11621</v>
      </c>
      <c r="G25" s="55">
        <v>76182</v>
      </c>
      <c r="H25" t="s">
        <v>126</v>
      </c>
      <c r="J25" s="25"/>
      <c r="K25" s="106"/>
      <c r="L25" s="25"/>
      <c r="M25" s="25"/>
    </row>
    <row r="26" spans="1:13" x14ac:dyDescent="0.3">
      <c r="A26" s="53">
        <v>46128</v>
      </c>
      <c r="B26" s="54"/>
      <c r="C26" s="54" t="s">
        <v>15</v>
      </c>
      <c r="D26" s="54" t="s">
        <v>16</v>
      </c>
      <c r="E26" s="54"/>
      <c r="F26" s="55">
        <v>12028</v>
      </c>
      <c r="G26" s="55">
        <v>78855</v>
      </c>
      <c r="J26" s="25"/>
      <c r="K26" s="106"/>
      <c r="L26" s="25"/>
      <c r="M26" s="25"/>
    </row>
    <row r="27" spans="1:13" x14ac:dyDescent="0.3">
      <c r="A27" s="5">
        <v>46121</v>
      </c>
      <c r="B27" s="1"/>
      <c r="C27" s="1" t="s">
        <v>15</v>
      </c>
      <c r="D27" s="1" t="s">
        <v>16</v>
      </c>
      <c r="E27" s="1"/>
      <c r="F27" s="7">
        <v>4145</v>
      </c>
      <c r="G27" s="7">
        <v>27175</v>
      </c>
      <c r="J27" s="25"/>
      <c r="K27" s="106"/>
      <c r="L27" s="25"/>
      <c r="M27" s="25"/>
    </row>
    <row r="28" spans="1:13" x14ac:dyDescent="0.3">
      <c r="A28" s="53">
        <v>46134</v>
      </c>
      <c r="B28" s="54"/>
      <c r="C28" s="54" t="s">
        <v>15</v>
      </c>
      <c r="D28" s="54" t="s">
        <v>16</v>
      </c>
      <c r="E28" s="54"/>
      <c r="F28" s="55">
        <v>5899</v>
      </c>
      <c r="G28" s="7">
        <v>38664</v>
      </c>
      <c r="J28" s="25"/>
      <c r="K28" s="106"/>
      <c r="L28" s="25"/>
      <c r="M28" s="25"/>
    </row>
    <row r="29" spans="1:13" x14ac:dyDescent="0.3">
      <c r="A29" s="53">
        <v>46133</v>
      </c>
      <c r="B29" s="54"/>
      <c r="C29" s="54" t="s">
        <v>15</v>
      </c>
      <c r="D29" s="54" t="s">
        <v>16</v>
      </c>
      <c r="E29" s="54"/>
      <c r="F29" s="55">
        <v>11105</v>
      </c>
      <c r="G29" s="7">
        <v>72804</v>
      </c>
      <c r="J29" s="25"/>
      <c r="K29" s="106"/>
      <c r="L29" s="25"/>
      <c r="M29" s="25"/>
    </row>
    <row r="30" spans="1:13" x14ac:dyDescent="0.3">
      <c r="A30" s="53">
        <v>46135</v>
      </c>
      <c r="B30" s="54"/>
      <c r="C30" s="54" t="s">
        <v>15</v>
      </c>
      <c r="D30" s="54" t="s">
        <v>16</v>
      </c>
      <c r="E30" s="54"/>
      <c r="F30" s="55">
        <v>4436</v>
      </c>
      <c r="G30" s="7">
        <v>29086</v>
      </c>
      <c r="J30" s="25"/>
      <c r="K30" s="106"/>
      <c r="L30" s="25"/>
      <c r="M30" s="25"/>
    </row>
    <row r="31" spans="1:13" x14ac:dyDescent="0.3">
      <c r="A31" s="53">
        <v>46131</v>
      </c>
      <c r="B31" s="54"/>
      <c r="C31" s="54" t="s">
        <v>15</v>
      </c>
      <c r="D31" s="54" t="s">
        <v>16</v>
      </c>
      <c r="E31" s="54"/>
      <c r="F31" s="55">
        <v>13297</v>
      </c>
      <c r="G31" s="7">
        <v>87170</v>
      </c>
      <c r="J31" s="25"/>
      <c r="K31" s="106"/>
      <c r="L31" s="25"/>
      <c r="M31" s="25"/>
    </row>
    <row r="32" spans="1:13" x14ac:dyDescent="0.3">
      <c r="A32" s="53">
        <v>46135</v>
      </c>
      <c r="B32" s="54"/>
      <c r="C32" s="54" t="s">
        <v>141</v>
      </c>
      <c r="D32" s="54" t="s">
        <v>80</v>
      </c>
      <c r="E32" s="54"/>
      <c r="F32" s="55">
        <v>64067</v>
      </c>
      <c r="G32" s="7">
        <v>420000</v>
      </c>
      <c r="J32" s="25"/>
      <c r="K32" s="106"/>
      <c r="L32" s="25"/>
      <c r="M32" s="25"/>
    </row>
    <row r="33" spans="1:13" x14ac:dyDescent="0.3">
      <c r="A33" s="53">
        <v>46120</v>
      </c>
      <c r="B33" s="54"/>
      <c r="C33" s="54" t="s">
        <v>136</v>
      </c>
      <c r="D33" s="54" t="s">
        <v>58</v>
      </c>
      <c r="E33" s="54"/>
      <c r="F33" s="55">
        <v>979</v>
      </c>
      <c r="G33" s="7">
        <v>6422</v>
      </c>
      <c r="J33" s="25"/>
      <c r="K33" s="106"/>
      <c r="L33" s="25"/>
      <c r="M33" s="25"/>
    </row>
    <row r="34" spans="1:13" x14ac:dyDescent="0.3">
      <c r="A34" s="53"/>
      <c r="B34" s="54"/>
      <c r="C34" s="54" t="s">
        <v>102</v>
      </c>
      <c r="D34" s="54" t="s">
        <v>30</v>
      </c>
      <c r="E34" s="54"/>
      <c r="F34" s="55">
        <v>30508</v>
      </c>
      <c r="G34" s="7">
        <v>200000</v>
      </c>
      <c r="J34" s="25"/>
      <c r="K34" s="106"/>
      <c r="L34" s="25"/>
      <c r="M34" s="25"/>
    </row>
    <row r="35" spans="1:13" x14ac:dyDescent="0.3">
      <c r="A35" s="53">
        <v>46136</v>
      </c>
      <c r="B35" s="54"/>
      <c r="C35" s="54" t="s">
        <v>15</v>
      </c>
      <c r="D35" s="54" t="s">
        <v>16</v>
      </c>
      <c r="E35" s="54"/>
      <c r="F35" s="55">
        <v>4100</v>
      </c>
      <c r="G35" s="7">
        <v>26883</v>
      </c>
      <c r="J35" s="25"/>
      <c r="K35" s="106"/>
      <c r="L35" s="25"/>
      <c r="M35" s="25"/>
    </row>
    <row r="36" spans="1:13" x14ac:dyDescent="0.3">
      <c r="A36" s="53">
        <v>46139</v>
      </c>
      <c r="B36" s="54"/>
      <c r="C36" s="54" t="s">
        <v>153</v>
      </c>
      <c r="D36" s="54" t="s">
        <v>16</v>
      </c>
      <c r="E36" s="54"/>
      <c r="F36" s="55">
        <v>18913</v>
      </c>
      <c r="G36" s="7">
        <v>123984</v>
      </c>
      <c r="J36" s="25"/>
      <c r="K36" s="106"/>
      <c r="L36" s="25"/>
      <c r="M36" s="25"/>
    </row>
    <row r="37" spans="1:13" x14ac:dyDescent="0.3">
      <c r="A37" s="53">
        <v>46140</v>
      </c>
      <c r="B37" s="54"/>
      <c r="C37" s="54" t="s">
        <v>10</v>
      </c>
      <c r="D37" s="54" t="s">
        <v>9</v>
      </c>
      <c r="E37" s="54"/>
      <c r="F37" s="55">
        <v>469068</v>
      </c>
      <c r="G37" s="7">
        <v>3075000</v>
      </c>
      <c r="J37" s="25"/>
      <c r="K37" s="106"/>
      <c r="L37" s="25"/>
      <c r="M37" s="25"/>
    </row>
    <row r="38" spans="1:13" x14ac:dyDescent="0.3">
      <c r="A38" s="53">
        <v>46141</v>
      </c>
      <c r="B38" s="54"/>
      <c r="C38" s="54" t="s">
        <v>15</v>
      </c>
      <c r="D38" s="54" t="s">
        <v>16</v>
      </c>
      <c r="E38" s="54"/>
      <c r="F38" s="55">
        <v>9120</v>
      </c>
      <c r="G38" s="7">
        <v>59788</v>
      </c>
      <c r="J38" s="25"/>
      <c r="K38" s="106"/>
      <c r="L38" s="25"/>
      <c r="M38" s="25"/>
    </row>
    <row r="39" spans="1:13" x14ac:dyDescent="0.3">
      <c r="A39" s="9">
        <v>46141</v>
      </c>
      <c r="C39" s="169" t="s">
        <v>15</v>
      </c>
      <c r="D39" s="169" t="s">
        <v>16</v>
      </c>
      <c r="F39" s="8">
        <v>3809</v>
      </c>
      <c r="G39" s="8">
        <v>24973</v>
      </c>
      <c r="J39" s="25"/>
      <c r="K39" s="106"/>
      <c r="L39" s="25"/>
      <c r="M39" s="25"/>
    </row>
    <row r="40" spans="1:13" x14ac:dyDescent="0.3">
      <c r="A40" s="53"/>
      <c r="B40" s="54"/>
      <c r="C40" s="54"/>
      <c r="D40" s="54"/>
      <c r="E40" s="54"/>
      <c r="F40" s="55"/>
      <c r="G40" s="7"/>
      <c r="J40" s="25"/>
      <c r="K40" s="106"/>
      <c r="L40" s="25"/>
      <c r="M40" s="25"/>
    </row>
    <row r="41" spans="1:13" x14ac:dyDescent="0.3">
      <c r="A41" s="53">
        <v>46121</v>
      </c>
      <c r="B41" s="54"/>
      <c r="C41" s="54" t="s">
        <v>60</v>
      </c>
      <c r="D41" s="54" t="s">
        <v>172</v>
      </c>
      <c r="E41" s="54"/>
      <c r="F41" s="55"/>
      <c r="G41" s="7">
        <v>275225</v>
      </c>
      <c r="J41" s="25"/>
      <c r="K41" s="106"/>
      <c r="L41" s="25"/>
      <c r="M41" s="25"/>
    </row>
    <row r="42" spans="1:13" x14ac:dyDescent="0.3">
      <c r="A42" s="53">
        <v>46122</v>
      </c>
      <c r="B42" s="54"/>
      <c r="C42" s="54" t="s">
        <v>171</v>
      </c>
      <c r="D42" s="54" t="s">
        <v>150</v>
      </c>
      <c r="E42" s="54"/>
      <c r="F42" s="55"/>
      <c r="G42" s="13">
        <f>1522*600</f>
        <v>913200</v>
      </c>
      <c r="J42" s="25"/>
      <c r="K42" s="106"/>
      <c r="L42" s="25"/>
      <c r="M42" s="25"/>
    </row>
    <row r="43" spans="1:13" x14ac:dyDescent="0.3">
      <c r="A43" s="53">
        <v>46120</v>
      </c>
      <c r="B43" s="54"/>
      <c r="C43" s="54" t="s">
        <v>178</v>
      </c>
      <c r="D43" s="54" t="s">
        <v>8</v>
      </c>
      <c r="E43" s="54"/>
      <c r="F43" s="55"/>
      <c r="G43" s="7">
        <v>2300000</v>
      </c>
      <c r="J43" s="25"/>
      <c r="K43" s="106"/>
      <c r="L43" s="25"/>
      <c r="M43" s="25"/>
    </row>
    <row r="44" spans="1:13" x14ac:dyDescent="0.3">
      <c r="A44" s="30" t="s">
        <v>181</v>
      </c>
      <c r="B44" s="1"/>
      <c r="C44" s="1" t="s">
        <v>180</v>
      </c>
      <c r="D44" s="1" t="s">
        <v>179</v>
      </c>
      <c r="E44" s="1"/>
      <c r="F44" s="7"/>
      <c r="G44" s="7">
        <v>150000</v>
      </c>
      <c r="J44" s="25"/>
      <c r="K44" s="106"/>
      <c r="L44" s="25"/>
      <c r="M44" s="25"/>
    </row>
    <row r="45" spans="1:13" x14ac:dyDescent="0.3">
      <c r="A45" s="36" t="s">
        <v>24</v>
      </c>
      <c r="B45" s="37"/>
      <c r="C45" s="37"/>
      <c r="D45" s="37"/>
      <c r="E45" s="37"/>
      <c r="F45" s="19"/>
      <c r="G45" s="19">
        <f>SUM(G4:G44)</f>
        <v>24558948</v>
      </c>
      <c r="J45" s="25"/>
      <c r="K45" s="106"/>
      <c r="L45" s="25"/>
      <c r="M45" s="25"/>
    </row>
    <row r="46" spans="1:13" x14ac:dyDescent="0.3">
      <c r="A46" s="116"/>
      <c r="B46" s="118"/>
      <c r="C46" s="118"/>
      <c r="D46" s="118"/>
      <c r="E46" s="118"/>
      <c r="F46" s="8">
        <f>SUM(F4:F45)</f>
        <v>3158898</v>
      </c>
      <c r="G46" s="17"/>
      <c r="J46" s="25"/>
      <c r="K46" s="106"/>
      <c r="L46" s="25"/>
      <c r="M46" s="25"/>
    </row>
    <row r="47" spans="1:13" ht="15.6" x14ac:dyDescent="0.3">
      <c r="A47" s="30"/>
      <c r="B47" s="120" t="s">
        <v>18</v>
      </c>
      <c r="C47" s="120"/>
      <c r="D47" s="121">
        <v>19264750</v>
      </c>
      <c r="E47" s="122">
        <f>D47*18/118</f>
        <v>2938690.6779661016</v>
      </c>
      <c r="F47" s="103"/>
      <c r="G47" s="103"/>
      <c r="J47" s="25"/>
      <c r="K47" s="106"/>
      <c r="L47" s="25"/>
      <c r="M47" s="25"/>
    </row>
    <row r="48" spans="1:13" ht="15.6" x14ac:dyDescent="0.3">
      <c r="A48" s="30"/>
      <c r="B48" s="120" t="s">
        <v>19</v>
      </c>
      <c r="C48" s="120"/>
      <c r="D48" s="121">
        <v>1194500</v>
      </c>
      <c r="E48" s="122">
        <f t="shared" ref="E48:E49" si="0">D48*18/118</f>
        <v>182211.86440677967</v>
      </c>
      <c r="F48" s="103"/>
      <c r="G48" s="103"/>
      <c r="J48" s="25"/>
      <c r="K48" s="106"/>
      <c r="L48" s="25"/>
      <c r="M48" s="25"/>
    </row>
    <row r="49" spans="1:17" ht="15.6" x14ac:dyDescent="0.3">
      <c r="A49" s="30"/>
      <c r="B49" s="120"/>
      <c r="C49" s="121">
        <f>D47+D48</f>
        <v>20459250</v>
      </c>
      <c r="D49" s="120"/>
      <c r="E49" s="122">
        <f t="shared" si="0"/>
        <v>0</v>
      </c>
      <c r="F49" s="103"/>
      <c r="G49" s="103"/>
      <c r="J49" s="25"/>
      <c r="K49" s="106"/>
      <c r="L49" s="25"/>
      <c r="M49" s="25"/>
    </row>
    <row r="50" spans="1:17" x14ac:dyDescent="0.3">
      <c r="A50" s="117"/>
      <c r="B50" s="119" t="s">
        <v>20</v>
      </c>
      <c r="C50" s="119"/>
      <c r="D50" s="119"/>
      <c r="E50" s="119" t="s">
        <v>39</v>
      </c>
      <c r="F50" s="104" t="s">
        <v>40</v>
      </c>
      <c r="G50" s="104" t="s">
        <v>21</v>
      </c>
      <c r="J50" s="25"/>
      <c r="K50" s="106"/>
      <c r="L50" s="25"/>
      <c r="M50" s="25"/>
    </row>
    <row r="51" spans="1:17" x14ac:dyDescent="0.3">
      <c r="A51" s="53"/>
      <c r="B51" s="102"/>
      <c r="C51" s="101"/>
      <c r="D51" s="102"/>
      <c r="E51" s="102"/>
      <c r="F51" s="103"/>
      <c r="G51" s="103"/>
      <c r="J51" s="25"/>
      <c r="K51" s="106"/>
      <c r="L51" s="25"/>
      <c r="M51" s="25"/>
    </row>
    <row r="52" spans="1:17" x14ac:dyDescent="0.3">
      <c r="A52" s="30"/>
      <c r="B52" s="102" t="s">
        <v>22</v>
      </c>
      <c r="C52" s="102"/>
      <c r="D52" s="102"/>
      <c r="E52" s="103">
        <v>2938691</v>
      </c>
      <c r="F52" s="103"/>
      <c r="G52" s="103"/>
      <c r="J52" s="25"/>
      <c r="K52" s="106"/>
      <c r="L52" s="25"/>
      <c r="M52" s="25"/>
    </row>
    <row r="53" spans="1:17" x14ac:dyDescent="0.3">
      <c r="A53" s="30"/>
      <c r="B53" s="102" t="s">
        <v>23</v>
      </c>
      <c r="C53" s="102"/>
      <c r="D53" s="102"/>
      <c r="E53" s="103">
        <v>175241</v>
      </c>
      <c r="F53" s="103"/>
      <c r="G53" s="103"/>
      <c r="J53" s="25"/>
      <c r="K53" s="106"/>
      <c r="L53" s="25"/>
      <c r="M53" s="25"/>
    </row>
    <row r="54" spans="1:17" x14ac:dyDescent="0.3">
      <c r="A54" s="30"/>
      <c r="B54" s="102"/>
      <c r="C54" s="102"/>
      <c r="D54" s="102"/>
      <c r="E54" s="103"/>
      <c r="F54" s="103"/>
      <c r="G54" s="103"/>
      <c r="J54" s="25"/>
      <c r="K54" s="106"/>
      <c r="L54" s="25"/>
      <c r="M54" s="25"/>
    </row>
    <row r="55" spans="1:17" x14ac:dyDescent="0.3">
      <c r="A55" s="30"/>
      <c r="B55" s="102" t="s">
        <v>24</v>
      </c>
      <c r="C55" s="102"/>
      <c r="D55" s="102"/>
      <c r="E55" s="103">
        <f>SUM(E52:E54)</f>
        <v>3113932</v>
      </c>
      <c r="F55" s="103">
        <f>F46</f>
        <v>3158898</v>
      </c>
      <c r="G55" s="123">
        <f>E55-F55</f>
        <v>-44966</v>
      </c>
      <c r="J55" s="25"/>
      <c r="K55" s="106"/>
      <c r="L55" s="25"/>
      <c r="M55" s="25"/>
    </row>
    <row r="56" spans="1:17" x14ac:dyDescent="0.3">
      <c r="A56" s="30"/>
      <c r="B56" s="102"/>
      <c r="C56" s="102"/>
      <c r="D56" s="102"/>
      <c r="E56" s="103"/>
      <c r="F56" s="103"/>
      <c r="G56" s="147" t="s">
        <v>134</v>
      </c>
      <c r="J56" s="25"/>
      <c r="K56" s="106"/>
      <c r="L56" s="25"/>
      <c r="M56" s="25"/>
    </row>
    <row r="57" spans="1:17" x14ac:dyDescent="0.3">
      <c r="A57" s="116"/>
      <c r="B57" s="129" t="s">
        <v>25</v>
      </c>
      <c r="C57" s="129"/>
      <c r="D57" s="129"/>
      <c r="E57" s="130">
        <f>G55*118/18</f>
        <v>-294777.11111111112</v>
      </c>
      <c r="F57" s="130" t="s">
        <v>29</v>
      </c>
      <c r="G57" s="130"/>
      <c r="J57" s="25"/>
      <c r="K57" s="106"/>
      <c r="L57" s="25"/>
      <c r="M57" s="25"/>
    </row>
    <row r="58" spans="1:17" x14ac:dyDescent="0.3">
      <c r="A58" s="134"/>
      <c r="B58" s="135"/>
      <c r="C58" s="135"/>
      <c r="D58" s="135"/>
      <c r="E58" s="135"/>
      <c r="F58" s="136"/>
      <c r="G58" s="136"/>
      <c r="J58" s="25"/>
      <c r="K58" s="106"/>
      <c r="L58" s="25"/>
      <c r="M58" s="25"/>
    </row>
    <row r="59" spans="1:17" x14ac:dyDescent="0.3">
      <c r="A59" s="131"/>
      <c r="B59" s="132"/>
      <c r="C59" s="132"/>
      <c r="D59" s="132"/>
      <c r="E59" s="132"/>
      <c r="F59" s="133"/>
      <c r="G59" s="133"/>
      <c r="J59" s="25"/>
      <c r="K59" s="106"/>
      <c r="L59" s="25"/>
      <c r="M59" s="25"/>
    </row>
    <row r="60" spans="1:17" x14ac:dyDescent="0.3">
      <c r="A60" s="131"/>
      <c r="B60" s="132"/>
      <c r="C60" s="132"/>
      <c r="D60" s="132"/>
      <c r="E60" s="132"/>
      <c r="F60" s="133"/>
      <c r="G60" s="133"/>
      <c r="J60" s="25"/>
      <c r="K60" s="106"/>
      <c r="L60" s="25"/>
      <c r="M60" s="25"/>
    </row>
    <row r="61" spans="1:17" x14ac:dyDescent="0.3">
      <c r="A61" s="95"/>
      <c r="B61" s="109"/>
      <c r="C61" s="151" t="s">
        <v>187</v>
      </c>
      <c r="D61" s="25"/>
      <c r="E61" s="25"/>
      <c r="F61" s="38"/>
      <c r="G61" s="35"/>
      <c r="H61" s="25"/>
      <c r="I61" s="25"/>
      <c r="J61" s="25"/>
      <c r="K61" s="106"/>
      <c r="L61" s="25"/>
      <c r="M61" s="25"/>
    </row>
    <row r="62" spans="1:17" ht="21" x14ac:dyDescent="0.4">
      <c r="A62" s="4" t="s">
        <v>0</v>
      </c>
      <c r="B62" s="4" t="s">
        <v>2</v>
      </c>
      <c r="C62" s="4" t="s">
        <v>1</v>
      </c>
      <c r="D62" s="4" t="s">
        <v>3</v>
      </c>
      <c r="E62" s="4" t="s">
        <v>4</v>
      </c>
      <c r="F62" s="6" t="s">
        <v>5</v>
      </c>
      <c r="G62" s="6" t="s">
        <v>6</v>
      </c>
      <c r="H62" s="25"/>
      <c r="I62" s="25"/>
      <c r="J62" s="25"/>
      <c r="K62" s="106"/>
      <c r="L62" s="25"/>
      <c r="M62" s="25"/>
    </row>
    <row r="63" spans="1:17" ht="15.6" x14ac:dyDescent="0.3">
      <c r="A63" s="30">
        <v>46144</v>
      </c>
      <c r="B63" s="53"/>
      <c r="C63" s="54" t="s">
        <v>42</v>
      </c>
      <c r="D63" s="162" t="s">
        <v>9</v>
      </c>
      <c r="E63" s="162"/>
      <c r="F63" s="55">
        <v>953390</v>
      </c>
      <c r="G63" s="55">
        <v>6250000</v>
      </c>
      <c r="H63" s="25"/>
      <c r="I63" s="25"/>
      <c r="J63" s="25"/>
      <c r="K63" s="106"/>
      <c r="L63" s="25"/>
      <c r="M63" s="25"/>
      <c r="O63" s="114"/>
      <c r="P63" s="114"/>
      <c r="Q63" s="115"/>
    </row>
    <row r="64" spans="1:17" ht="15.6" x14ac:dyDescent="0.3">
      <c r="A64" s="30">
        <v>46150</v>
      </c>
      <c r="B64" s="53"/>
      <c r="C64" s="54" t="s">
        <v>42</v>
      </c>
      <c r="D64" s="162" t="s">
        <v>9</v>
      </c>
      <c r="E64" s="162"/>
      <c r="F64" s="55">
        <v>945762</v>
      </c>
      <c r="G64" s="55">
        <v>6200000</v>
      </c>
      <c r="H64" s="25"/>
      <c r="I64" s="25"/>
      <c r="J64" s="25"/>
      <c r="K64" s="109"/>
      <c r="L64" s="25"/>
      <c r="M64" s="25"/>
      <c r="O64" s="114"/>
      <c r="P64" s="114"/>
      <c r="Q64" s="115"/>
    </row>
    <row r="65" spans="1:17" ht="15.6" x14ac:dyDescent="0.3">
      <c r="A65" s="30">
        <v>46164</v>
      </c>
      <c r="B65" s="53"/>
      <c r="C65" s="54" t="s">
        <v>42</v>
      </c>
      <c r="D65" s="54" t="s">
        <v>9</v>
      </c>
      <c r="E65" s="54"/>
      <c r="F65" s="55">
        <v>907627</v>
      </c>
      <c r="G65" s="55">
        <v>5950000</v>
      </c>
      <c r="H65" s="25"/>
      <c r="I65" s="25"/>
      <c r="J65" s="25"/>
      <c r="K65" s="109"/>
      <c r="L65" s="25"/>
      <c r="M65" s="25"/>
      <c r="O65" s="114"/>
      <c r="P65" s="114"/>
      <c r="Q65" s="115"/>
    </row>
    <row r="66" spans="1:17" ht="15.6" x14ac:dyDescent="0.3">
      <c r="A66" s="30">
        <v>46162</v>
      </c>
      <c r="B66" s="53"/>
      <c r="C66" s="54" t="s">
        <v>77</v>
      </c>
      <c r="D66" s="54" t="s">
        <v>59</v>
      </c>
      <c r="E66" s="54"/>
      <c r="F66" s="55">
        <v>271462</v>
      </c>
      <c r="G66" s="55">
        <v>1799262</v>
      </c>
      <c r="H66" s="25"/>
      <c r="I66" s="25"/>
      <c r="J66" s="25"/>
      <c r="K66" s="110"/>
      <c r="L66" s="25"/>
      <c r="M66" s="25"/>
      <c r="O66" s="114"/>
      <c r="P66" s="114"/>
      <c r="Q66" s="115"/>
    </row>
    <row r="67" spans="1:17" ht="15.6" x14ac:dyDescent="0.3">
      <c r="A67" s="137"/>
      <c r="B67" s="137"/>
      <c r="C67" s="12"/>
      <c r="D67" s="12"/>
      <c r="E67" s="12"/>
      <c r="F67" s="13">
        <v>3081243</v>
      </c>
      <c r="G67" s="13"/>
      <c r="H67" s="178" t="s">
        <v>203</v>
      </c>
      <c r="I67" s="25"/>
      <c r="J67" s="25"/>
      <c r="K67" s="110"/>
      <c r="L67" s="25"/>
      <c r="M67" s="25"/>
      <c r="O67" s="114"/>
      <c r="P67" s="114"/>
      <c r="Q67" s="115"/>
    </row>
    <row r="68" spans="1:17" ht="15.6" x14ac:dyDescent="0.3">
      <c r="A68" s="137"/>
      <c r="B68" s="137"/>
      <c r="C68" s="12" t="s">
        <v>99</v>
      </c>
      <c r="D68" s="12"/>
      <c r="E68" s="12"/>
      <c r="F68" s="13">
        <v>3081243</v>
      </c>
      <c r="G68" s="13"/>
      <c r="H68" s="178"/>
      <c r="I68" s="177">
        <f>F67-F68</f>
        <v>0</v>
      </c>
      <c r="J68" s="25"/>
      <c r="K68" s="110"/>
      <c r="L68" s="25"/>
      <c r="M68" s="25"/>
      <c r="O68" s="114"/>
      <c r="P68" s="114"/>
      <c r="Q68" s="115"/>
    </row>
    <row r="69" spans="1:17" ht="15.6" x14ac:dyDescent="0.3">
      <c r="A69" s="30">
        <v>46165</v>
      </c>
      <c r="B69" s="53"/>
      <c r="C69" s="54" t="s">
        <v>193</v>
      </c>
      <c r="D69" s="54" t="s">
        <v>192</v>
      </c>
      <c r="E69" s="54"/>
      <c r="F69" s="55">
        <v>81610</v>
      </c>
      <c r="G69" s="55">
        <v>535000</v>
      </c>
      <c r="H69" s="25"/>
      <c r="I69" s="25"/>
      <c r="J69" s="25"/>
      <c r="K69" s="106"/>
      <c r="L69" s="25"/>
      <c r="M69" s="25"/>
      <c r="O69" s="114"/>
      <c r="P69" s="114"/>
      <c r="Q69" s="115"/>
    </row>
    <row r="70" spans="1:17" ht="15.6" x14ac:dyDescent="0.3">
      <c r="A70" s="30">
        <v>46160</v>
      </c>
      <c r="B70" s="53"/>
      <c r="C70" s="54" t="s">
        <v>189</v>
      </c>
      <c r="D70" s="162" t="s">
        <v>11</v>
      </c>
      <c r="E70" s="54"/>
      <c r="F70" s="55">
        <v>64068</v>
      </c>
      <c r="G70" s="55">
        <v>420000</v>
      </c>
      <c r="H70" s="109"/>
      <c r="I70" s="109"/>
      <c r="J70" s="25"/>
      <c r="K70" s="111"/>
      <c r="L70" s="25"/>
      <c r="M70" s="25"/>
      <c r="O70" s="114"/>
      <c r="P70" s="114"/>
      <c r="Q70" s="115"/>
    </row>
    <row r="71" spans="1:17" ht="15.6" x14ac:dyDescent="0.3">
      <c r="A71" s="30"/>
      <c r="B71" s="53"/>
      <c r="C71" s="54" t="s">
        <v>102</v>
      </c>
      <c r="D71" s="162" t="s">
        <v>30</v>
      </c>
      <c r="E71" s="162"/>
      <c r="F71" s="19">
        <v>30508</v>
      </c>
      <c r="G71" s="19">
        <v>200000</v>
      </c>
      <c r="H71" s="109"/>
      <c r="I71" s="109"/>
      <c r="J71" s="25"/>
      <c r="K71" s="106"/>
      <c r="L71" s="25"/>
      <c r="M71" s="25"/>
      <c r="O71" s="114"/>
      <c r="P71" s="114"/>
      <c r="Q71" s="115"/>
    </row>
    <row r="72" spans="1:17" ht="15.6" x14ac:dyDescent="0.3">
      <c r="A72" s="30">
        <v>46159</v>
      </c>
      <c r="B72" s="53"/>
      <c r="C72" s="54" t="s">
        <v>15</v>
      </c>
      <c r="D72" s="54" t="s">
        <v>16</v>
      </c>
      <c r="E72" s="54"/>
      <c r="F72" s="55">
        <v>14346</v>
      </c>
      <c r="G72" s="55">
        <v>94045</v>
      </c>
      <c r="H72" s="109"/>
      <c r="I72" s="109"/>
      <c r="J72" s="25"/>
      <c r="K72" s="112"/>
      <c r="L72" s="25"/>
      <c r="M72" s="25"/>
      <c r="O72" s="114"/>
      <c r="P72" s="114"/>
      <c r="Q72" s="115"/>
    </row>
    <row r="73" spans="1:17" ht="15.6" x14ac:dyDescent="0.3">
      <c r="A73" s="30">
        <v>46149</v>
      </c>
      <c r="B73" s="53"/>
      <c r="C73" s="54" t="s">
        <v>15</v>
      </c>
      <c r="D73" s="54" t="s">
        <v>16</v>
      </c>
      <c r="E73" s="54"/>
      <c r="F73" s="55">
        <v>14292</v>
      </c>
      <c r="G73" s="55">
        <v>93693</v>
      </c>
      <c r="H73" s="109"/>
      <c r="I73" s="108"/>
      <c r="J73" s="25"/>
      <c r="K73" s="108"/>
      <c r="L73" s="25"/>
      <c r="M73" s="25"/>
      <c r="O73" s="114"/>
      <c r="P73" s="114"/>
      <c r="Q73" s="115"/>
    </row>
    <row r="74" spans="1:17" ht="15.6" x14ac:dyDescent="0.3">
      <c r="A74" s="30">
        <v>46159</v>
      </c>
      <c r="B74" s="53"/>
      <c r="C74" s="54" t="s">
        <v>15</v>
      </c>
      <c r="D74" s="54" t="s">
        <v>16</v>
      </c>
      <c r="E74" s="54"/>
      <c r="F74" s="55">
        <v>13364</v>
      </c>
      <c r="G74" s="55">
        <v>87611</v>
      </c>
      <c r="H74" s="174"/>
      <c r="I74" s="109"/>
      <c r="J74" s="25"/>
      <c r="K74" s="105"/>
      <c r="L74" s="25"/>
      <c r="M74" s="25"/>
      <c r="O74" s="114"/>
      <c r="P74" s="114"/>
      <c r="Q74" s="115"/>
    </row>
    <row r="75" spans="1:17" ht="15.6" x14ac:dyDescent="0.3">
      <c r="A75" s="30">
        <v>46159</v>
      </c>
      <c r="B75" s="53"/>
      <c r="C75" s="54" t="s">
        <v>15</v>
      </c>
      <c r="D75" s="54" t="s">
        <v>16</v>
      </c>
      <c r="E75" s="54"/>
      <c r="F75" s="55">
        <v>13243</v>
      </c>
      <c r="G75" s="55">
        <v>86818</v>
      </c>
      <c r="H75" s="109"/>
      <c r="I75" s="109"/>
      <c r="J75" s="25"/>
      <c r="K75" s="105"/>
      <c r="L75" s="25"/>
      <c r="M75" s="25"/>
      <c r="O75" s="114"/>
      <c r="P75" s="114"/>
      <c r="Q75" s="115"/>
    </row>
    <row r="76" spans="1:17" ht="15.6" x14ac:dyDescent="0.3">
      <c r="A76" s="30">
        <v>46153</v>
      </c>
      <c r="B76" s="53"/>
      <c r="C76" s="54" t="s">
        <v>64</v>
      </c>
      <c r="D76" s="54" t="s">
        <v>63</v>
      </c>
      <c r="E76" s="54"/>
      <c r="F76" s="55">
        <v>12630</v>
      </c>
      <c r="G76" s="55">
        <v>82800</v>
      </c>
      <c r="H76" s="109"/>
      <c r="I76" s="109"/>
      <c r="J76" s="25"/>
      <c r="K76" s="105"/>
      <c r="L76" s="25"/>
      <c r="M76" s="25"/>
      <c r="O76" s="114"/>
      <c r="P76" s="114"/>
      <c r="Q76" s="115"/>
    </row>
    <row r="77" spans="1:17" ht="15.6" x14ac:dyDescent="0.3">
      <c r="A77" s="30">
        <v>46170</v>
      </c>
      <c r="B77" s="53"/>
      <c r="C77" s="54" t="s">
        <v>15</v>
      </c>
      <c r="D77" s="54" t="s">
        <v>16</v>
      </c>
      <c r="E77" s="54"/>
      <c r="F77" s="55">
        <v>12589</v>
      </c>
      <c r="G77" s="55">
        <v>82528</v>
      </c>
      <c r="H77" s="109"/>
      <c r="I77" s="109"/>
      <c r="J77" s="25"/>
      <c r="K77" s="105"/>
      <c r="L77" s="25"/>
      <c r="M77" s="25"/>
      <c r="O77" s="114"/>
      <c r="P77" s="114"/>
      <c r="Q77" s="115"/>
    </row>
    <row r="78" spans="1:17" ht="15.6" x14ac:dyDescent="0.3">
      <c r="A78" s="30">
        <v>46161</v>
      </c>
      <c r="B78" s="53"/>
      <c r="C78" s="54" t="s">
        <v>15</v>
      </c>
      <c r="D78" s="162" t="s">
        <v>16</v>
      </c>
      <c r="E78" s="162"/>
      <c r="F78" s="55">
        <v>12190</v>
      </c>
      <c r="G78" s="55">
        <v>79914</v>
      </c>
      <c r="H78" s="109"/>
      <c r="I78" s="109"/>
      <c r="J78" s="25"/>
      <c r="K78" s="105"/>
      <c r="L78" s="25"/>
      <c r="M78" s="25"/>
      <c r="O78" s="114"/>
      <c r="P78" s="114"/>
      <c r="Q78" s="115"/>
    </row>
    <row r="79" spans="1:17" ht="15.6" x14ac:dyDescent="0.3">
      <c r="A79" s="30">
        <v>46160</v>
      </c>
      <c r="B79" s="53"/>
      <c r="C79" s="54" t="s">
        <v>15</v>
      </c>
      <c r="D79" s="162" t="s">
        <v>16</v>
      </c>
      <c r="E79" s="162"/>
      <c r="F79" s="55">
        <v>11944</v>
      </c>
      <c r="G79" s="55">
        <v>78298</v>
      </c>
      <c r="H79" s="109"/>
      <c r="I79" s="109"/>
      <c r="J79" s="25"/>
      <c r="K79" s="105"/>
      <c r="L79" s="25"/>
      <c r="M79" s="25"/>
      <c r="O79" s="114"/>
      <c r="P79" s="114"/>
      <c r="Q79" s="115"/>
    </row>
    <row r="80" spans="1:17" ht="15.6" x14ac:dyDescent="0.3">
      <c r="A80" s="30">
        <v>46168</v>
      </c>
      <c r="B80" s="53"/>
      <c r="C80" s="54" t="s">
        <v>15</v>
      </c>
      <c r="D80" s="54" t="s">
        <v>16</v>
      </c>
      <c r="E80" s="54"/>
      <c r="F80" s="55">
        <v>10568</v>
      </c>
      <c r="G80" s="55">
        <v>69278</v>
      </c>
      <c r="H80" s="109"/>
      <c r="I80" s="109"/>
      <c r="J80" s="25"/>
      <c r="K80" s="105"/>
      <c r="L80" s="25"/>
      <c r="M80" s="25"/>
      <c r="O80" s="114"/>
      <c r="P80" s="114"/>
      <c r="Q80" s="115"/>
    </row>
    <row r="81" spans="1:17" ht="15.6" x14ac:dyDescent="0.3">
      <c r="A81" s="30">
        <v>46165</v>
      </c>
      <c r="B81" s="53"/>
      <c r="C81" s="54" t="s">
        <v>15</v>
      </c>
      <c r="D81" s="54" t="s">
        <v>16</v>
      </c>
      <c r="E81" s="54"/>
      <c r="F81" s="55">
        <v>9882</v>
      </c>
      <c r="G81" s="55">
        <v>64783</v>
      </c>
      <c r="H81" s="109"/>
      <c r="I81" s="109"/>
      <c r="J81" s="25"/>
      <c r="K81" s="105"/>
      <c r="L81" s="25"/>
      <c r="M81" s="25"/>
      <c r="O81" s="114"/>
      <c r="P81" s="114"/>
      <c r="Q81" s="115"/>
    </row>
    <row r="82" spans="1:17" ht="15.6" x14ac:dyDescent="0.3">
      <c r="A82" s="30">
        <v>46147</v>
      </c>
      <c r="B82" s="53"/>
      <c r="C82" s="54" t="s">
        <v>15</v>
      </c>
      <c r="D82" s="162" t="s">
        <v>16</v>
      </c>
      <c r="E82" s="162"/>
      <c r="F82" s="55">
        <v>9555</v>
      </c>
      <c r="G82" s="55">
        <v>62638</v>
      </c>
      <c r="H82" s="109"/>
      <c r="I82" s="109"/>
      <c r="J82" s="25"/>
      <c r="K82" s="105"/>
      <c r="L82" s="25"/>
      <c r="M82" s="25"/>
      <c r="O82" s="114"/>
      <c r="P82" s="114"/>
      <c r="Q82" s="115"/>
    </row>
    <row r="83" spans="1:17" ht="15.6" x14ac:dyDescent="0.3">
      <c r="A83" s="30">
        <v>46171</v>
      </c>
      <c r="B83" s="53"/>
      <c r="C83" s="54" t="s">
        <v>15</v>
      </c>
      <c r="D83" s="162" t="s">
        <v>16</v>
      </c>
      <c r="E83" s="54"/>
      <c r="F83" s="55">
        <v>8694</v>
      </c>
      <c r="G83" s="55">
        <v>56997</v>
      </c>
      <c r="H83" s="109"/>
      <c r="I83" s="109"/>
      <c r="J83" s="25"/>
      <c r="K83" s="105"/>
      <c r="L83" s="25"/>
      <c r="M83" s="25"/>
      <c r="O83" s="114"/>
      <c r="P83" s="114"/>
      <c r="Q83" s="115"/>
    </row>
    <row r="84" spans="1:17" ht="15.6" x14ac:dyDescent="0.3">
      <c r="A84" s="53">
        <v>46143</v>
      </c>
      <c r="B84" s="54"/>
      <c r="C84" s="54" t="s">
        <v>64</v>
      </c>
      <c r="D84" s="54" t="s">
        <v>63</v>
      </c>
      <c r="E84" s="54"/>
      <c r="F84" s="55">
        <v>8420</v>
      </c>
      <c r="G84" s="7">
        <v>55200</v>
      </c>
      <c r="H84" s="109"/>
      <c r="I84" s="109"/>
      <c r="J84" s="25"/>
      <c r="K84" s="105"/>
      <c r="L84" s="25"/>
      <c r="M84" s="25"/>
      <c r="O84" s="114"/>
      <c r="P84" s="114"/>
      <c r="Q84" s="115"/>
    </row>
    <row r="85" spans="1:17" ht="15.6" x14ac:dyDescent="0.3">
      <c r="A85" s="30">
        <v>46150</v>
      </c>
      <c r="B85" s="53"/>
      <c r="C85" s="54" t="s">
        <v>15</v>
      </c>
      <c r="D85" s="54" t="s">
        <v>16</v>
      </c>
      <c r="E85" s="54"/>
      <c r="F85" s="55">
        <v>8412</v>
      </c>
      <c r="G85" s="55">
        <v>55146</v>
      </c>
      <c r="H85" s="109"/>
      <c r="I85" s="109"/>
      <c r="J85" s="25"/>
      <c r="K85" s="105"/>
      <c r="L85" s="25"/>
      <c r="M85" s="25"/>
      <c r="O85" s="114"/>
      <c r="P85" s="114"/>
      <c r="Q85" s="115"/>
    </row>
    <row r="86" spans="1:17" ht="15.6" x14ac:dyDescent="0.3">
      <c r="A86" s="30">
        <v>46165</v>
      </c>
      <c r="B86" s="53"/>
      <c r="C86" s="54" t="s">
        <v>15</v>
      </c>
      <c r="D86" s="54" t="s">
        <v>16</v>
      </c>
      <c r="E86" s="54"/>
      <c r="F86" s="55">
        <v>8143</v>
      </c>
      <c r="G86" s="55">
        <v>53383</v>
      </c>
      <c r="H86" s="109"/>
      <c r="I86" s="109"/>
      <c r="J86" s="25"/>
      <c r="K86" s="105"/>
      <c r="L86" s="25"/>
      <c r="M86" s="25"/>
      <c r="O86" s="114"/>
      <c r="P86" s="114"/>
      <c r="Q86" s="115"/>
    </row>
    <row r="87" spans="1:17" ht="15.6" x14ac:dyDescent="0.3">
      <c r="A87" s="53">
        <v>46146</v>
      </c>
      <c r="B87" s="54"/>
      <c r="C87" s="54" t="s">
        <v>15</v>
      </c>
      <c r="D87" s="54" t="s">
        <v>16</v>
      </c>
      <c r="E87" s="54"/>
      <c r="F87" s="55">
        <v>8116</v>
      </c>
      <c r="G87" s="19">
        <v>53207</v>
      </c>
      <c r="H87" s="109"/>
      <c r="I87" s="109"/>
      <c r="J87" s="25"/>
      <c r="K87" s="105"/>
      <c r="L87" s="25"/>
      <c r="M87" s="25"/>
      <c r="O87" s="114"/>
      <c r="P87" s="114"/>
      <c r="Q87" s="115"/>
    </row>
    <row r="88" spans="1:17" ht="15.6" x14ac:dyDescent="0.3">
      <c r="A88" s="30">
        <v>46167</v>
      </c>
      <c r="B88" s="53"/>
      <c r="C88" s="54" t="s">
        <v>15</v>
      </c>
      <c r="D88" s="54" t="s">
        <v>16</v>
      </c>
      <c r="E88" s="54"/>
      <c r="F88" s="55">
        <v>7748</v>
      </c>
      <c r="G88" s="55">
        <v>50798</v>
      </c>
      <c r="H88" s="109"/>
      <c r="I88" s="109"/>
      <c r="J88" s="25"/>
      <c r="K88" s="105"/>
      <c r="L88" s="25"/>
      <c r="M88" s="25"/>
      <c r="O88" s="114"/>
      <c r="P88" s="114"/>
      <c r="Q88" s="115"/>
    </row>
    <row r="89" spans="1:17" ht="15.6" x14ac:dyDescent="0.3">
      <c r="A89" s="30">
        <v>46147</v>
      </c>
      <c r="B89" s="53"/>
      <c r="C89" s="54" t="s">
        <v>15</v>
      </c>
      <c r="D89" s="162" t="s">
        <v>16</v>
      </c>
      <c r="E89" s="162"/>
      <c r="F89" s="55">
        <v>6776</v>
      </c>
      <c r="G89" s="55">
        <v>44423</v>
      </c>
      <c r="H89" s="109"/>
      <c r="I89" s="109"/>
      <c r="J89" s="25"/>
      <c r="K89" s="105"/>
      <c r="L89" s="25"/>
      <c r="M89" s="25"/>
      <c r="O89" s="114"/>
      <c r="P89" s="114"/>
      <c r="Q89" s="115"/>
    </row>
    <row r="90" spans="1:17" ht="15.6" x14ac:dyDescent="0.3">
      <c r="A90" s="30">
        <v>46159</v>
      </c>
      <c r="B90" s="53"/>
      <c r="C90" s="54" t="s">
        <v>15</v>
      </c>
      <c r="D90" s="54" t="s">
        <v>16</v>
      </c>
      <c r="E90" s="54"/>
      <c r="F90" s="55">
        <v>5727</v>
      </c>
      <c r="G90" s="55">
        <v>37548</v>
      </c>
      <c r="H90" s="109"/>
      <c r="I90" s="109"/>
      <c r="J90" s="25"/>
      <c r="K90" s="105"/>
      <c r="L90" s="25"/>
      <c r="M90" s="25"/>
      <c r="O90" s="114"/>
      <c r="P90" s="114"/>
      <c r="Q90" s="115"/>
    </row>
    <row r="91" spans="1:17" ht="15.6" x14ac:dyDescent="0.3">
      <c r="A91" s="30">
        <v>46151</v>
      </c>
      <c r="B91" s="53"/>
      <c r="C91" s="54" t="s">
        <v>15</v>
      </c>
      <c r="D91" s="54" t="s">
        <v>16</v>
      </c>
      <c r="E91" s="54"/>
      <c r="F91" s="55">
        <v>5194</v>
      </c>
      <c r="G91" s="55">
        <v>34051</v>
      </c>
      <c r="H91" s="109"/>
      <c r="I91" s="109"/>
      <c r="J91" s="25"/>
      <c r="K91" s="105"/>
      <c r="L91" s="25"/>
      <c r="M91" s="25"/>
      <c r="O91" s="114"/>
      <c r="P91" s="114"/>
      <c r="Q91" s="115"/>
    </row>
    <row r="92" spans="1:17" ht="15.6" x14ac:dyDescent="0.3">
      <c r="A92" s="185"/>
      <c r="B92" s="185"/>
      <c r="C92" s="186" t="s">
        <v>229</v>
      </c>
      <c r="D92" s="186"/>
      <c r="E92" s="186"/>
      <c r="F92" s="11">
        <v>27593</v>
      </c>
      <c r="G92" s="11">
        <v>180900</v>
      </c>
      <c r="H92" s="109"/>
      <c r="I92" s="109"/>
      <c r="J92" s="25"/>
      <c r="K92" s="105"/>
      <c r="L92" s="25"/>
      <c r="M92" s="25"/>
      <c r="O92" s="114"/>
      <c r="P92" s="114"/>
      <c r="Q92" s="115"/>
    </row>
    <row r="93" spans="1:17" ht="15.6" x14ac:dyDescent="0.3">
      <c r="A93" s="30">
        <v>46150</v>
      </c>
      <c r="B93" s="53"/>
      <c r="C93" s="54" t="s">
        <v>191</v>
      </c>
      <c r="D93" s="54" t="s">
        <v>190</v>
      </c>
      <c r="E93" s="54"/>
      <c r="F93" s="55"/>
      <c r="G93" s="55">
        <v>76500</v>
      </c>
      <c r="H93" s="109"/>
      <c r="I93" s="109"/>
      <c r="J93" s="25"/>
      <c r="K93" s="106"/>
      <c r="L93" s="25"/>
      <c r="M93" s="25"/>
      <c r="O93" s="114"/>
      <c r="P93" s="114"/>
      <c r="Q93" s="115"/>
    </row>
    <row r="94" spans="1:17" ht="15.6" x14ac:dyDescent="0.3">
      <c r="A94" s="5">
        <v>46149</v>
      </c>
      <c r="B94" s="53"/>
      <c r="C94" s="54" t="s">
        <v>60</v>
      </c>
      <c r="D94" s="54" t="s">
        <v>188</v>
      </c>
      <c r="E94" s="54"/>
      <c r="F94" s="55"/>
      <c r="G94" s="55">
        <v>50500</v>
      </c>
      <c r="H94" s="109"/>
      <c r="I94" s="109"/>
      <c r="J94" s="25"/>
      <c r="K94" s="106"/>
      <c r="L94" s="25"/>
      <c r="M94" s="25"/>
      <c r="O94" s="114"/>
      <c r="P94" s="114"/>
      <c r="Q94" s="115"/>
    </row>
    <row r="95" spans="1:17" ht="15.6" x14ac:dyDescent="0.3">
      <c r="A95" s="5">
        <v>46149</v>
      </c>
      <c r="B95" s="53"/>
      <c r="C95" s="54" t="s">
        <v>60</v>
      </c>
      <c r="D95" s="54" t="s">
        <v>188</v>
      </c>
      <c r="E95" s="54"/>
      <c r="F95" s="55"/>
      <c r="G95" s="55">
        <v>505000</v>
      </c>
      <c r="H95" s="109"/>
      <c r="I95" s="109"/>
      <c r="J95" s="25"/>
      <c r="K95" s="108"/>
      <c r="L95" s="25"/>
      <c r="M95" s="25"/>
      <c r="O95" s="114"/>
      <c r="P95" s="114"/>
      <c r="Q95" s="115"/>
    </row>
    <row r="96" spans="1:17" ht="15.6" x14ac:dyDescent="0.3">
      <c r="A96" s="5">
        <v>46160</v>
      </c>
      <c r="B96" s="53"/>
      <c r="C96" s="54" t="s">
        <v>60</v>
      </c>
      <c r="D96" s="54" t="s">
        <v>188</v>
      </c>
      <c r="E96" s="54"/>
      <c r="F96" s="55"/>
      <c r="G96" s="55">
        <v>494900</v>
      </c>
      <c r="H96" s="109"/>
      <c r="I96" s="109"/>
      <c r="J96" s="25"/>
      <c r="K96" s="109"/>
      <c r="L96" s="25"/>
      <c r="M96" s="25"/>
      <c r="O96" s="114"/>
      <c r="P96" s="114"/>
      <c r="Q96" s="115"/>
    </row>
    <row r="97" spans="1:19" ht="15.6" x14ac:dyDescent="0.3">
      <c r="A97" s="5">
        <v>46157</v>
      </c>
      <c r="B97" s="53"/>
      <c r="C97" s="54" t="s">
        <v>79</v>
      </c>
      <c r="D97" s="54" t="s">
        <v>91</v>
      </c>
      <c r="E97" s="54"/>
      <c r="F97" s="55"/>
      <c r="G97" s="55">
        <v>2400000</v>
      </c>
      <c r="H97" s="109"/>
      <c r="I97" s="109"/>
      <c r="J97" s="25"/>
      <c r="K97" s="109"/>
      <c r="L97" s="25"/>
      <c r="M97" s="25"/>
      <c r="O97" s="114"/>
      <c r="P97" s="114"/>
      <c r="Q97" s="115"/>
    </row>
    <row r="98" spans="1:19" ht="15.6" x14ac:dyDescent="0.3">
      <c r="A98" s="5"/>
      <c r="B98" s="53"/>
      <c r="C98" s="54"/>
      <c r="D98" s="54"/>
      <c r="E98" s="54"/>
      <c r="F98" s="55"/>
      <c r="G98" s="55"/>
      <c r="H98" s="109"/>
      <c r="I98" s="109"/>
      <c r="J98" s="25"/>
      <c r="K98" s="109"/>
      <c r="L98" s="25"/>
      <c r="M98" s="25"/>
      <c r="O98" s="114"/>
      <c r="P98" s="114"/>
      <c r="Q98" s="115"/>
    </row>
    <row r="99" spans="1:19" ht="15.6" x14ac:dyDescent="0.3">
      <c r="A99" s="5"/>
      <c r="B99" s="53"/>
      <c r="C99" s="54"/>
      <c r="D99" s="54"/>
      <c r="E99" s="54"/>
      <c r="F99" s="55"/>
      <c r="G99" s="55"/>
      <c r="H99" s="109"/>
      <c r="I99" s="109"/>
      <c r="J99" s="25"/>
      <c r="K99" s="109"/>
      <c r="L99" s="25"/>
      <c r="M99" s="25"/>
      <c r="O99" s="114"/>
      <c r="P99" s="114"/>
      <c r="Q99" s="115"/>
    </row>
    <row r="100" spans="1:19" ht="15.6" x14ac:dyDescent="0.3">
      <c r="A100" s="5"/>
      <c r="B100" s="53"/>
      <c r="C100" s="54"/>
      <c r="D100" s="54"/>
      <c r="E100" s="54"/>
      <c r="F100" s="55"/>
      <c r="G100" s="55"/>
      <c r="H100" s="109"/>
      <c r="I100" s="109"/>
      <c r="J100" s="25"/>
      <c r="K100" s="109"/>
      <c r="L100" s="25"/>
      <c r="M100" s="25"/>
      <c r="O100" s="114"/>
      <c r="P100" s="114"/>
      <c r="Q100" s="115"/>
    </row>
    <row r="101" spans="1:19" ht="15.6" x14ac:dyDescent="0.3">
      <c r="A101" s="30"/>
      <c r="B101" s="120" t="s">
        <v>18</v>
      </c>
      <c r="C101" s="120"/>
      <c r="D101" s="121">
        <v>18429550</v>
      </c>
      <c r="E101" s="122">
        <f>D101*18/118</f>
        <v>2811287.2881355933</v>
      </c>
      <c r="F101" s="103"/>
      <c r="G101" s="103"/>
      <c r="H101" s="109" t="s">
        <v>194</v>
      </c>
      <c r="I101" s="106"/>
      <c r="J101" s="25"/>
      <c r="K101" s="109"/>
      <c r="L101" s="25"/>
      <c r="M101" s="25"/>
      <c r="O101" s="114"/>
      <c r="P101" s="114"/>
      <c r="Q101" s="115"/>
    </row>
    <row r="102" spans="1:19" ht="15.6" x14ac:dyDescent="0.3">
      <c r="A102" s="30"/>
      <c r="B102" s="120" t="s">
        <v>19</v>
      </c>
      <c r="C102" s="120"/>
      <c r="D102" s="121">
        <v>865800</v>
      </c>
      <c r="E102" s="122">
        <v>136494</v>
      </c>
      <c r="F102" s="103">
        <v>0</v>
      </c>
      <c r="G102" s="103"/>
      <c r="H102" s="109"/>
      <c r="I102" s="106"/>
      <c r="J102" s="25"/>
      <c r="K102" s="109"/>
      <c r="L102" s="25"/>
      <c r="M102" s="25"/>
      <c r="O102" s="114"/>
      <c r="P102" s="114"/>
      <c r="Q102" s="115"/>
    </row>
    <row r="103" spans="1:19" ht="15.6" x14ac:dyDescent="0.3">
      <c r="A103" s="30"/>
      <c r="B103" s="120"/>
      <c r="C103" s="121">
        <f>D101+D102</f>
        <v>19295350</v>
      </c>
      <c r="D103" s="120">
        <v>180900</v>
      </c>
      <c r="E103" s="122">
        <f>D103*18/118</f>
        <v>27594.915254237287</v>
      </c>
      <c r="F103" s="103">
        <f>F67</f>
        <v>3081243</v>
      </c>
      <c r="G103" s="103"/>
      <c r="H103" s="108"/>
      <c r="I103" s="106"/>
      <c r="J103" s="25"/>
      <c r="K103" s="109"/>
      <c r="L103" s="25"/>
      <c r="M103" s="25"/>
      <c r="O103" s="114"/>
      <c r="P103" s="114"/>
      <c r="Q103" s="115"/>
    </row>
    <row r="104" spans="1:19" ht="15.6" x14ac:dyDescent="0.3">
      <c r="A104" s="117"/>
      <c r="B104" s="183" t="s">
        <v>20</v>
      </c>
      <c r="C104" s="183"/>
      <c r="D104" s="183"/>
      <c r="E104" s="183" t="s">
        <v>39</v>
      </c>
      <c r="F104" s="104" t="s">
        <v>40</v>
      </c>
      <c r="G104" s="104" t="s">
        <v>21</v>
      </c>
      <c r="H104" s="109"/>
      <c r="I104" s="106"/>
      <c r="J104" s="177">
        <f>H106-F109</f>
        <v>402610</v>
      </c>
      <c r="K104" s="108"/>
      <c r="L104" s="25"/>
      <c r="M104" s="25"/>
      <c r="O104" s="114"/>
      <c r="P104" s="114"/>
      <c r="Q104" s="115"/>
    </row>
    <row r="105" spans="1:19" ht="15.6" x14ac:dyDescent="0.3">
      <c r="A105" s="53"/>
      <c r="B105" s="102"/>
      <c r="C105" s="102"/>
      <c r="D105" s="102"/>
      <c r="E105" s="102"/>
      <c r="F105" s="103"/>
      <c r="G105" s="103"/>
      <c r="H105" s="109"/>
      <c r="I105" s="106"/>
      <c r="J105" s="25"/>
      <c r="K105" s="109"/>
      <c r="L105" s="25"/>
      <c r="M105" s="25"/>
      <c r="O105" s="114"/>
      <c r="P105" s="114"/>
      <c r="Q105" s="115"/>
    </row>
    <row r="106" spans="1:19" ht="15.6" x14ac:dyDescent="0.3">
      <c r="A106" s="30"/>
      <c r="B106" s="102" t="s">
        <v>22</v>
      </c>
      <c r="C106" s="102"/>
      <c r="D106" s="102"/>
      <c r="E106" s="103">
        <v>2811287</v>
      </c>
      <c r="F106" s="103"/>
      <c r="G106" s="103"/>
      <c r="H106" s="109">
        <v>3483853</v>
      </c>
      <c r="I106" s="106"/>
      <c r="J106" s="25"/>
      <c r="K106" s="25"/>
      <c r="L106" s="25"/>
      <c r="M106" s="25"/>
      <c r="O106" s="114"/>
      <c r="P106" s="114"/>
      <c r="Q106" s="115"/>
    </row>
    <row r="107" spans="1:19" ht="15.6" x14ac:dyDescent="0.3">
      <c r="A107" s="30"/>
      <c r="B107" s="102" t="s">
        <v>23</v>
      </c>
      <c r="C107" s="102"/>
      <c r="D107" s="102"/>
      <c r="E107" s="103">
        <v>123453</v>
      </c>
      <c r="F107" s="103"/>
      <c r="G107" s="103"/>
      <c r="H107" s="109"/>
      <c r="I107" s="106"/>
      <c r="J107" s="25"/>
      <c r="K107" s="25"/>
      <c r="L107" s="25"/>
      <c r="M107" s="25"/>
      <c r="O107" s="114"/>
      <c r="P107" s="114"/>
      <c r="Q107" s="115"/>
    </row>
    <row r="108" spans="1:19" ht="15.6" x14ac:dyDescent="0.3">
      <c r="A108" s="30"/>
      <c r="B108" s="102"/>
      <c r="C108" s="102"/>
      <c r="D108" s="102"/>
      <c r="E108" s="103"/>
      <c r="F108" s="103"/>
      <c r="G108" s="103"/>
      <c r="H108" s="109"/>
      <c r="I108" s="106"/>
      <c r="J108" s="25"/>
      <c r="K108" s="25"/>
      <c r="L108" s="25"/>
      <c r="M108" s="25"/>
      <c r="O108" s="114"/>
      <c r="P108" s="114"/>
      <c r="Q108" s="115"/>
    </row>
    <row r="109" spans="1:19" ht="15.6" x14ac:dyDescent="0.3">
      <c r="A109" s="30"/>
      <c r="B109" s="102" t="s">
        <v>24</v>
      </c>
      <c r="C109" s="102"/>
      <c r="D109" s="102"/>
      <c r="E109" s="103">
        <f>SUM(E106:E108)</f>
        <v>2934740</v>
      </c>
      <c r="F109" s="103">
        <f>F103</f>
        <v>3081243</v>
      </c>
      <c r="G109" s="158">
        <f>E109-F109</f>
        <v>-146503</v>
      </c>
      <c r="H109" s="179" t="s">
        <v>145</v>
      </c>
      <c r="I109" s="106"/>
      <c r="J109" s="25"/>
      <c r="O109" s="114"/>
      <c r="P109" s="114"/>
      <c r="Q109" s="115"/>
    </row>
    <row r="110" spans="1:19" ht="15.6" x14ac:dyDescent="0.3">
      <c r="A110" s="30"/>
      <c r="B110" s="102"/>
      <c r="C110" s="102"/>
      <c r="D110" s="102"/>
      <c r="E110" s="103"/>
      <c r="F110" s="103"/>
      <c r="G110" s="147" t="s">
        <v>134</v>
      </c>
      <c r="H110" s="109"/>
      <c r="I110" s="175"/>
      <c r="J110" s="25"/>
      <c r="O110" s="114"/>
      <c r="P110" s="114"/>
      <c r="Q110" s="115"/>
    </row>
    <row r="111" spans="1:19" ht="15.6" x14ac:dyDescent="0.3">
      <c r="A111" s="116"/>
      <c r="B111" s="181" t="s">
        <v>25</v>
      </c>
      <c r="C111" s="184">
        <v>46173</v>
      </c>
      <c r="D111" s="181"/>
      <c r="E111" s="182">
        <f>G109*118/18</f>
        <v>-960408.5555555555</v>
      </c>
      <c r="F111" s="182" t="s">
        <v>29</v>
      </c>
      <c r="G111" s="182"/>
      <c r="H111" s="109"/>
      <c r="I111" s="175"/>
      <c r="J111" s="25"/>
      <c r="O111" s="114"/>
      <c r="P111" s="114"/>
      <c r="Q111" s="115"/>
    </row>
    <row r="112" spans="1:19" ht="15.6" x14ac:dyDescent="0.3">
      <c r="A112" s="53"/>
      <c r="B112" s="102"/>
      <c r="C112" s="102"/>
      <c r="D112" s="102"/>
      <c r="E112" s="102"/>
      <c r="F112" s="103"/>
      <c r="G112" s="103"/>
      <c r="H112" s="109"/>
      <c r="I112" s="109"/>
      <c r="J112" s="25"/>
      <c r="O112" s="114"/>
      <c r="P112" s="114"/>
      <c r="Q112" s="115"/>
      <c r="S112" s="20"/>
    </row>
    <row r="113" spans="1:17" ht="15.6" x14ac:dyDescent="0.3">
      <c r="A113" s="5"/>
      <c r="B113" s="36" t="s">
        <v>195</v>
      </c>
      <c r="C113" s="54"/>
      <c r="D113" s="54"/>
      <c r="E113" s="54"/>
      <c r="F113" s="55"/>
      <c r="G113" s="55"/>
      <c r="H113" s="109"/>
      <c r="I113" s="109"/>
      <c r="J113" s="25"/>
      <c r="O113" s="114"/>
      <c r="P113" s="114"/>
      <c r="Q113" s="115"/>
    </row>
    <row r="114" spans="1:17" ht="21" x14ac:dyDescent="0.4">
      <c r="A114" s="4" t="s">
        <v>0</v>
      </c>
      <c r="B114" s="4" t="s">
        <v>2</v>
      </c>
      <c r="C114" s="4" t="s">
        <v>1</v>
      </c>
      <c r="D114" s="4" t="s">
        <v>3</v>
      </c>
      <c r="E114" s="4" t="s">
        <v>4</v>
      </c>
      <c r="F114" s="6" t="s">
        <v>5</v>
      </c>
      <c r="G114" s="6" t="s">
        <v>6</v>
      </c>
      <c r="H114" s="25"/>
      <c r="I114" s="25"/>
      <c r="J114" s="25"/>
      <c r="O114" s="114"/>
      <c r="P114" s="114"/>
      <c r="Q114" s="115"/>
    </row>
    <row r="115" spans="1:17" ht="15.6" x14ac:dyDescent="0.3">
      <c r="A115" s="5">
        <v>46186</v>
      </c>
      <c r="B115" s="53"/>
      <c r="C115" s="54" t="s">
        <v>227</v>
      </c>
      <c r="D115" s="54" t="s">
        <v>9</v>
      </c>
      <c r="E115" s="54"/>
      <c r="F115" s="55">
        <v>930508</v>
      </c>
      <c r="G115" s="55">
        <v>6100000</v>
      </c>
      <c r="H115" s="25"/>
      <c r="I115" s="25"/>
      <c r="J115" s="25"/>
      <c r="O115" s="114"/>
      <c r="P115" s="114"/>
      <c r="Q115" s="115"/>
    </row>
    <row r="116" spans="1:17" ht="15.6" x14ac:dyDescent="0.3">
      <c r="A116" s="5">
        <v>46186</v>
      </c>
      <c r="B116" s="53"/>
      <c r="C116" s="54" t="s">
        <v>10</v>
      </c>
      <c r="D116" s="54" t="s">
        <v>9</v>
      </c>
      <c r="E116" s="54"/>
      <c r="F116" s="55">
        <v>930508</v>
      </c>
      <c r="G116" s="19">
        <v>6100000</v>
      </c>
      <c r="H116" s="25"/>
      <c r="I116" s="25"/>
      <c r="J116" s="25"/>
      <c r="O116" s="114"/>
      <c r="P116" s="114"/>
      <c r="Q116" s="115"/>
    </row>
    <row r="117" spans="1:17" ht="15.6" x14ac:dyDescent="0.3">
      <c r="A117" s="5">
        <v>46191</v>
      </c>
      <c r="B117" s="53"/>
      <c r="C117" s="54" t="s">
        <v>230</v>
      </c>
      <c r="D117" s="54" t="s">
        <v>9</v>
      </c>
      <c r="E117" s="54"/>
      <c r="F117" s="55">
        <v>915254</v>
      </c>
      <c r="G117" s="55">
        <v>6000000</v>
      </c>
      <c r="H117" s="25"/>
      <c r="I117" s="25"/>
      <c r="J117" s="25"/>
      <c r="O117" s="114"/>
      <c r="P117" s="114"/>
      <c r="Q117" s="115"/>
    </row>
    <row r="118" spans="1:17" ht="15.6" x14ac:dyDescent="0.3">
      <c r="A118" s="53">
        <v>46202</v>
      </c>
      <c r="B118" s="53"/>
      <c r="C118" s="54" t="s">
        <v>10</v>
      </c>
      <c r="D118" s="54" t="s">
        <v>9</v>
      </c>
      <c r="E118" s="54"/>
      <c r="F118" s="55">
        <v>186101</v>
      </c>
      <c r="G118" s="55">
        <v>1220000</v>
      </c>
      <c r="H118" s="25"/>
      <c r="I118" s="25"/>
      <c r="J118" s="25"/>
      <c r="O118" s="114"/>
      <c r="P118" s="114"/>
      <c r="Q118" s="115"/>
    </row>
    <row r="119" spans="1:17" ht="15.6" x14ac:dyDescent="0.3">
      <c r="A119" s="131"/>
      <c r="B119" s="131"/>
      <c r="C119" s="169"/>
      <c r="D119" s="169"/>
      <c r="E119" s="109"/>
      <c r="F119" s="192">
        <f>SUM(F115:F118)</f>
        <v>2962371</v>
      </c>
      <c r="G119" s="192">
        <f>SUM(G115:G118)</f>
        <v>19420000</v>
      </c>
      <c r="H119" s="178" t="s">
        <v>241</v>
      </c>
      <c r="I119" s="177"/>
      <c r="J119" s="25"/>
      <c r="O119" s="114"/>
      <c r="P119" s="114"/>
      <c r="Q119" s="115"/>
    </row>
    <row r="120" spans="1:17" ht="15.6" x14ac:dyDescent="0.3">
      <c r="A120" s="131"/>
      <c r="B120" s="131"/>
      <c r="C120" s="200" t="s">
        <v>99</v>
      </c>
      <c r="D120" s="169"/>
      <c r="E120" s="109"/>
      <c r="F120" s="192"/>
      <c r="G120" s="192"/>
      <c r="H120" s="178"/>
      <c r="I120" s="177"/>
      <c r="J120" s="25"/>
      <c r="O120" s="114"/>
      <c r="P120" s="114"/>
      <c r="Q120" s="115"/>
    </row>
    <row r="121" spans="1:17" x14ac:dyDescent="0.3">
      <c r="A121" s="193">
        <v>46190</v>
      </c>
      <c r="B121" s="193"/>
      <c r="C121" s="194" t="s">
        <v>231</v>
      </c>
      <c r="D121" s="194" t="s">
        <v>11</v>
      </c>
      <c r="E121" s="195"/>
      <c r="F121" s="196">
        <v>63701</v>
      </c>
      <c r="G121" s="196">
        <v>417600</v>
      </c>
    </row>
    <row r="122" spans="1:17" ht="15.6" x14ac:dyDescent="0.3">
      <c r="A122" s="197">
        <v>46189</v>
      </c>
      <c r="B122" s="197"/>
      <c r="C122" s="198" t="s">
        <v>237</v>
      </c>
      <c r="D122" s="198" t="s">
        <v>238</v>
      </c>
      <c r="E122" s="198"/>
      <c r="F122" s="199">
        <v>30431</v>
      </c>
      <c r="G122" s="199">
        <v>200000</v>
      </c>
      <c r="H122" s="25"/>
      <c r="I122" s="25"/>
      <c r="J122" s="25"/>
      <c r="O122" s="114"/>
      <c r="P122" s="114"/>
      <c r="Q122" s="115"/>
    </row>
    <row r="123" spans="1:17" ht="15.6" x14ac:dyDescent="0.3">
      <c r="A123" s="197">
        <v>46182</v>
      </c>
      <c r="B123" s="197"/>
      <c r="C123" s="198" t="s">
        <v>64</v>
      </c>
      <c r="D123" s="198" t="s">
        <v>63</v>
      </c>
      <c r="E123" s="198"/>
      <c r="F123" s="199">
        <v>22881</v>
      </c>
      <c r="G123" s="199">
        <v>150000</v>
      </c>
      <c r="H123" s="25"/>
      <c r="I123" s="25"/>
      <c r="J123" s="25"/>
      <c r="O123" s="114"/>
      <c r="P123" s="114"/>
      <c r="Q123" s="115"/>
    </row>
    <row r="124" spans="1:17" ht="15.6" x14ac:dyDescent="0.3">
      <c r="A124" s="197">
        <v>46174</v>
      </c>
      <c r="B124" s="197"/>
      <c r="C124" s="198" t="s">
        <v>196</v>
      </c>
      <c r="D124" s="198" t="s">
        <v>16</v>
      </c>
      <c r="E124" s="198"/>
      <c r="F124" s="199">
        <v>15614</v>
      </c>
      <c r="G124" s="199">
        <v>102360</v>
      </c>
      <c r="H124" s="25"/>
      <c r="I124" s="25"/>
      <c r="J124" s="25"/>
      <c r="O124" s="114"/>
      <c r="P124" s="114"/>
      <c r="Q124" s="115"/>
    </row>
    <row r="125" spans="1:17" x14ac:dyDescent="0.3">
      <c r="A125" s="193">
        <v>46203</v>
      </c>
      <c r="B125" s="193"/>
      <c r="C125" s="194" t="s">
        <v>237</v>
      </c>
      <c r="D125" s="194" t="s">
        <v>238</v>
      </c>
      <c r="E125" s="195"/>
      <c r="F125" s="196">
        <v>15216</v>
      </c>
      <c r="G125" s="196">
        <v>100000</v>
      </c>
    </row>
    <row r="126" spans="1:17" ht="15.6" x14ac:dyDescent="0.3">
      <c r="A126" s="197">
        <v>46199</v>
      </c>
      <c r="B126" s="197"/>
      <c r="C126" s="198" t="s">
        <v>15</v>
      </c>
      <c r="D126" s="198" t="s">
        <v>16</v>
      </c>
      <c r="E126" s="198"/>
      <c r="F126" s="199">
        <v>14866</v>
      </c>
      <c r="G126" s="199">
        <v>97453</v>
      </c>
      <c r="H126" s="25"/>
      <c r="I126" s="25"/>
      <c r="J126" s="25"/>
      <c r="O126" s="114"/>
      <c r="P126" s="114"/>
      <c r="Q126" s="115"/>
    </row>
    <row r="127" spans="1:17" ht="15.6" x14ac:dyDescent="0.3">
      <c r="A127" s="197">
        <v>46184</v>
      </c>
      <c r="B127" s="197"/>
      <c r="C127" s="198" t="s">
        <v>15</v>
      </c>
      <c r="D127" s="198" t="s">
        <v>16</v>
      </c>
      <c r="E127" s="198"/>
      <c r="F127" s="199">
        <v>12764</v>
      </c>
      <c r="G127" s="199">
        <v>83674</v>
      </c>
      <c r="H127" s="25"/>
      <c r="I127" s="25"/>
      <c r="J127" s="25"/>
      <c r="O127" s="114"/>
      <c r="P127" s="114"/>
      <c r="Q127" s="115"/>
    </row>
    <row r="128" spans="1:17" ht="15.6" x14ac:dyDescent="0.3">
      <c r="A128" s="197">
        <v>46175</v>
      </c>
      <c r="B128" s="197"/>
      <c r="C128" s="198" t="s">
        <v>15</v>
      </c>
      <c r="D128" s="198" t="s">
        <v>16</v>
      </c>
      <c r="E128" s="198"/>
      <c r="F128" s="199">
        <v>12558</v>
      </c>
      <c r="G128" s="199">
        <v>82323</v>
      </c>
      <c r="H128" s="25"/>
      <c r="I128" s="25"/>
      <c r="J128" s="25"/>
      <c r="O128" s="114"/>
      <c r="P128" s="114"/>
      <c r="Q128" s="115"/>
    </row>
    <row r="129" spans="1:17" ht="15.6" x14ac:dyDescent="0.3">
      <c r="A129" s="197">
        <v>46197</v>
      </c>
      <c r="B129" s="197"/>
      <c r="C129" s="198" t="s">
        <v>15</v>
      </c>
      <c r="D129" s="198" t="s">
        <v>16</v>
      </c>
      <c r="E129" s="198"/>
      <c r="F129" s="199">
        <v>12320</v>
      </c>
      <c r="G129" s="199">
        <v>80766</v>
      </c>
      <c r="H129" s="25"/>
      <c r="I129" s="25"/>
      <c r="J129" s="25"/>
      <c r="O129" s="114"/>
      <c r="P129" s="114"/>
      <c r="Q129" s="115"/>
    </row>
    <row r="130" spans="1:17" ht="15.6" x14ac:dyDescent="0.3">
      <c r="A130" s="197">
        <v>46192</v>
      </c>
      <c r="B130" s="197"/>
      <c r="C130" s="198" t="s">
        <v>15</v>
      </c>
      <c r="D130" s="198" t="s">
        <v>16</v>
      </c>
      <c r="E130" s="198"/>
      <c r="F130" s="199">
        <v>11903</v>
      </c>
      <c r="G130" s="199">
        <v>78033</v>
      </c>
      <c r="H130" s="25"/>
      <c r="I130" s="25"/>
      <c r="J130" s="25"/>
      <c r="O130" s="114"/>
      <c r="P130" s="114"/>
      <c r="Q130" s="115"/>
    </row>
    <row r="131" spans="1:17" ht="15.6" x14ac:dyDescent="0.3">
      <c r="A131" s="197">
        <v>46199</v>
      </c>
      <c r="B131" s="197"/>
      <c r="C131" s="198" t="s">
        <v>27</v>
      </c>
      <c r="D131" s="198" t="s">
        <v>13</v>
      </c>
      <c r="E131" s="198"/>
      <c r="F131" s="199">
        <v>11059</v>
      </c>
      <c r="G131" s="199">
        <v>72000</v>
      </c>
      <c r="H131" s="25"/>
      <c r="I131" s="25"/>
      <c r="J131" s="25"/>
      <c r="O131" s="114"/>
      <c r="P131" s="114"/>
      <c r="Q131" s="115"/>
    </row>
    <row r="132" spans="1:17" ht="15.6" x14ac:dyDescent="0.3">
      <c r="A132" s="197">
        <v>46178</v>
      </c>
      <c r="B132" s="197"/>
      <c r="C132" s="198" t="s">
        <v>15</v>
      </c>
      <c r="D132" s="198" t="s">
        <v>16</v>
      </c>
      <c r="E132" s="198"/>
      <c r="F132" s="199">
        <v>10769</v>
      </c>
      <c r="G132" s="199">
        <v>70600</v>
      </c>
      <c r="H132" s="25"/>
      <c r="I132" s="25"/>
      <c r="J132" s="25"/>
      <c r="O132" s="114"/>
      <c r="P132" s="114"/>
      <c r="Q132" s="115"/>
    </row>
    <row r="133" spans="1:17" ht="15.6" x14ac:dyDescent="0.3">
      <c r="A133" s="197">
        <v>46192</v>
      </c>
      <c r="B133" s="197"/>
      <c r="C133" s="198" t="s">
        <v>12</v>
      </c>
      <c r="D133" s="198" t="s">
        <v>41</v>
      </c>
      <c r="E133" s="198"/>
      <c r="F133" s="199">
        <v>10449</v>
      </c>
      <c r="G133" s="199">
        <v>68500</v>
      </c>
      <c r="H133" s="25"/>
      <c r="I133" s="25"/>
      <c r="J133" s="25"/>
      <c r="O133" s="114"/>
      <c r="P133" s="114"/>
      <c r="Q133" s="115"/>
    </row>
    <row r="134" spans="1:17" ht="15.6" x14ac:dyDescent="0.3">
      <c r="A134" s="197">
        <v>46195</v>
      </c>
      <c r="B134" s="197"/>
      <c r="C134" s="198" t="s">
        <v>15</v>
      </c>
      <c r="D134" s="198" t="s">
        <v>16</v>
      </c>
      <c r="E134" s="198"/>
      <c r="F134" s="199">
        <v>10074</v>
      </c>
      <c r="G134" s="199">
        <v>66046</v>
      </c>
      <c r="H134" s="25"/>
      <c r="I134" s="25"/>
      <c r="J134" s="25"/>
      <c r="O134" s="114"/>
      <c r="P134" s="114"/>
      <c r="Q134" s="115"/>
    </row>
    <row r="135" spans="1:17" ht="15.6" x14ac:dyDescent="0.3">
      <c r="A135" s="197">
        <v>46182</v>
      </c>
      <c r="B135" s="197"/>
      <c r="C135" s="198" t="s">
        <v>15</v>
      </c>
      <c r="D135" s="198" t="s">
        <v>16</v>
      </c>
      <c r="E135" s="198"/>
      <c r="F135" s="199">
        <v>10070</v>
      </c>
      <c r="G135" s="199">
        <v>66017</v>
      </c>
      <c r="H135" s="25"/>
      <c r="I135" s="25"/>
      <c r="J135" s="25"/>
      <c r="O135" s="114"/>
      <c r="P135" s="114"/>
      <c r="Q135" s="115"/>
    </row>
    <row r="136" spans="1:17" ht="15.6" x14ac:dyDescent="0.3">
      <c r="A136" s="197">
        <v>46177</v>
      </c>
      <c r="B136" s="197"/>
      <c r="C136" s="198" t="s">
        <v>15</v>
      </c>
      <c r="D136" s="198" t="s">
        <v>16</v>
      </c>
      <c r="E136" s="198"/>
      <c r="F136" s="199">
        <v>9528</v>
      </c>
      <c r="G136" s="199">
        <v>62462</v>
      </c>
      <c r="H136" s="25"/>
      <c r="I136" s="25"/>
      <c r="J136" s="25"/>
      <c r="O136" s="114"/>
      <c r="P136" s="114"/>
      <c r="Q136" s="115"/>
    </row>
    <row r="137" spans="1:17" ht="15.6" x14ac:dyDescent="0.3">
      <c r="A137" s="197">
        <v>46202</v>
      </c>
      <c r="B137" s="197"/>
      <c r="C137" s="198" t="s">
        <v>15</v>
      </c>
      <c r="D137" s="198" t="s">
        <v>16</v>
      </c>
      <c r="E137" s="198"/>
      <c r="F137" s="199">
        <v>8726</v>
      </c>
      <c r="G137" s="199">
        <v>57203</v>
      </c>
      <c r="H137" s="25"/>
      <c r="I137" s="25"/>
      <c r="J137" s="25"/>
      <c r="O137" s="114"/>
      <c r="P137" s="114"/>
      <c r="Q137" s="115"/>
    </row>
    <row r="138" spans="1:17" ht="15.6" x14ac:dyDescent="0.3">
      <c r="A138" s="197">
        <v>46189</v>
      </c>
      <c r="B138" s="197"/>
      <c r="C138" s="198" t="s">
        <v>15</v>
      </c>
      <c r="D138" s="198" t="s">
        <v>16</v>
      </c>
      <c r="E138" s="198"/>
      <c r="F138" s="199">
        <v>8260</v>
      </c>
      <c r="G138" s="199">
        <v>54147</v>
      </c>
      <c r="H138" s="25"/>
      <c r="I138" s="25"/>
      <c r="J138" s="25"/>
      <c r="O138" s="114"/>
      <c r="P138" s="114"/>
      <c r="Q138" s="115"/>
    </row>
    <row r="139" spans="1:17" ht="15.6" x14ac:dyDescent="0.3">
      <c r="A139" s="197">
        <v>46185</v>
      </c>
      <c r="B139" s="197"/>
      <c r="C139" s="198" t="s">
        <v>15</v>
      </c>
      <c r="D139" s="198" t="s">
        <v>16</v>
      </c>
      <c r="E139" s="198"/>
      <c r="F139" s="199">
        <v>7910</v>
      </c>
      <c r="G139" s="199">
        <v>51856</v>
      </c>
      <c r="H139" s="25"/>
      <c r="I139" s="25"/>
      <c r="J139" s="25"/>
      <c r="O139" s="114"/>
      <c r="P139" s="114"/>
      <c r="Q139" s="115"/>
    </row>
    <row r="140" spans="1:17" s="56" customFormat="1" ht="15.6" x14ac:dyDescent="0.3">
      <c r="A140" s="197">
        <v>46191</v>
      </c>
      <c r="B140" s="197"/>
      <c r="C140" s="198" t="s">
        <v>228</v>
      </c>
      <c r="D140" s="198" t="s">
        <v>63</v>
      </c>
      <c r="E140" s="198"/>
      <c r="F140" s="199">
        <v>7779</v>
      </c>
      <c r="G140" s="199">
        <v>51000</v>
      </c>
      <c r="H140" s="109"/>
      <c r="I140" s="109"/>
      <c r="J140" s="109"/>
      <c r="O140" s="73"/>
      <c r="P140" s="73"/>
      <c r="Q140" s="74"/>
    </row>
    <row r="141" spans="1:17" ht="15.6" x14ac:dyDescent="0.3">
      <c r="A141" s="197">
        <v>46191</v>
      </c>
      <c r="B141" s="197"/>
      <c r="C141" s="198" t="s">
        <v>15</v>
      </c>
      <c r="D141" s="198" t="s">
        <v>16</v>
      </c>
      <c r="E141" s="198"/>
      <c r="F141" s="199">
        <v>7722</v>
      </c>
      <c r="G141" s="199">
        <v>50622</v>
      </c>
      <c r="H141" s="25"/>
      <c r="I141" s="25"/>
      <c r="J141" s="25"/>
      <c r="O141" s="114"/>
      <c r="P141" s="114"/>
      <c r="Q141" s="115"/>
    </row>
    <row r="142" spans="1:17" ht="15.6" x14ac:dyDescent="0.3">
      <c r="A142" s="197">
        <v>46186</v>
      </c>
      <c r="B142" s="197"/>
      <c r="C142" s="198" t="s">
        <v>237</v>
      </c>
      <c r="D142" s="198" t="s">
        <v>238</v>
      </c>
      <c r="E142" s="198"/>
      <c r="F142" s="199">
        <v>7607</v>
      </c>
      <c r="G142" s="199">
        <v>50000</v>
      </c>
      <c r="H142" s="25"/>
      <c r="I142" s="25"/>
      <c r="J142" s="25"/>
      <c r="O142" s="114"/>
      <c r="P142" s="114"/>
      <c r="Q142" s="115"/>
    </row>
    <row r="143" spans="1:17" ht="15.6" x14ac:dyDescent="0.3">
      <c r="A143" s="197">
        <v>46188</v>
      </c>
      <c r="B143" s="197"/>
      <c r="C143" s="198" t="s">
        <v>15</v>
      </c>
      <c r="D143" s="198" t="s">
        <v>16</v>
      </c>
      <c r="E143" s="198"/>
      <c r="F143" s="199">
        <v>7560</v>
      </c>
      <c r="G143" s="199">
        <v>49564</v>
      </c>
      <c r="H143" s="25"/>
      <c r="I143" s="25"/>
      <c r="J143" s="25"/>
      <c r="O143" s="114"/>
      <c r="P143" s="114"/>
      <c r="Q143" s="115"/>
    </row>
    <row r="144" spans="1:17" ht="15.6" x14ac:dyDescent="0.3">
      <c r="A144" s="197">
        <v>46190</v>
      </c>
      <c r="B144" s="197"/>
      <c r="C144" s="198" t="s">
        <v>15</v>
      </c>
      <c r="D144" s="198" t="s">
        <v>16</v>
      </c>
      <c r="E144" s="198"/>
      <c r="F144" s="199">
        <v>7341</v>
      </c>
      <c r="G144" s="199">
        <v>48124</v>
      </c>
      <c r="H144" s="25"/>
      <c r="I144" s="25"/>
      <c r="J144" s="25"/>
      <c r="O144" s="114"/>
      <c r="P144" s="114"/>
      <c r="Q144" s="115"/>
    </row>
    <row r="145" spans="1:17" ht="15.6" x14ac:dyDescent="0.3">
      <c r="A145" s="197">
        <v>42530</v>
      </c>
      <c r="B145" s="198"/>
      <c r="C145" s="198" t="s">
        <v>15</v>
      </c>
      <c r="D145" s="198" t="s">
        <v>16</v>
      </c>
      <c r="E145" s="198"/>
      <c r="F145" s="199">
        <v>4576</v>
      </c>
      <c r="G145" s="199">
        <v>30000</v>
      </c>
      <c r="H145" s="25"/>
      <c r="I145" s="25"/>
      <c r="J145" s="25"/>
      <c r="O145" s="114"/>
      <c r="P145" s="114"/>
      <c r="Q145" s="115"/>
    </row>
    <row r="146" spans="1:17" s="56" customFormat="1" ht="15.6" x14ac:dyDescent="0.3">
      <c r="A146" s="197">
        <v>46190</v>
      </c>
      <c r="B146" s="197"/>
      <c r="C146" s="198" t="s">
        <v>15</v>
      </c>
      <c r="D146" s="198" t="s">
        <v>16</v>
      </c>
      <c r="E146" s="198"/>
      <c r="F146" s="199">
        <v>4576</v>
      </c>
      <c r="G146" s="199">
        <v>30000</v>
      </c>
      <c r="H146" s="109"/>
      <c r="I146" s="109"/>
      <c r="J146" s="109"/>
      <c r="O146" s="73"/>
      <c r="P146" s="73"/>
      <c r="Q146" s="74"/>
    </row>
    <row r="147" spans="1:17" ht="15.6" x14ac:dyDescent="0.3">
      <c r="A147" s="197">
        <v>46202</v>
      </c>
      <c r="B147" s="197"/>
      <c r="C147" s="198" t="s">
        <v>15</v>
      </c>
      <c r="D147" s="198" t="s">
        <v>16</v>
      </c>
      <c r="E147" s="198"/>
      <c r="F147" s="199">
        <v>4576</v>
      </c>
      <c r="G147" s="199">
        <v>30000</v>
      </c>
      <c r="H147" s="25"/>
      <c r="I147" s="25"/>
      <c r="J147" s="25"/>
      <c r="O147" s="114"/>
      <c r="P147" s="114"/>
      <c r="Q147" s="115"/>
    </row>
    <row r="148" spans="1:17" ht="15.6" x14ac:dyDescent="0.3">
      <c r="A148" s="197">
        <v>46178</v>
      </c>
      <c r="B148" s="197"/>
      <c r="C148" s="198" t="s">
        <v>206</v>
      </c>
      <c r="D148" s="198" t="s">
        <v>207</v>
      </c>
      <c r="E148" s="198"/>
      <c r="F148" s="199">
        <v>3813</v>
      </c>
      <c r="G148" s="199">
        <v>25000</v>
      </c>
      <c r="H148" s="25"/>
      <c r="I148" s="25"/>
      <c r="J148" s="25"/>
      <c r="O148" s="114"/>
      <c r="P148" s="114"/>
      <c r="Q148" s="115"/>
    </row>
    <row r="149" spans="1:17" ht="15.6" x14ac:dyDescent="0.3">
      <c r="A149" s="197">
        <v>46200</v>
      </c>
      <c r="B149" s="197"/>
      <c r="C149" s="198" t="s">
        <v>27</v>
      </c>
      <c r="D149" s="198" t="s">
        <v>236</v>
      </c>
      <c r="E149" s="198"/>
      <c r="F149" s="199">
        <v>3173</v>
      </c>
      <c r="G149" s="199">
        <v>76200</v>
      </c>
      <c r="H149" s="25"/>
      <c r="I149" s="25"/>
      <c r="J149" s="25"/>
      <c r="O149" s="114"/>
      <c r="P149" s="114"/>
      <c r="Q149" s="115"/>
    </row>
    <row r="150" spans="1:17" ht="15.6" x14ac:dyDescent="0.3">
      <c r="A150" s="197">
        <v>46183</v>
      </c>
      <c r="B150" s="198"/>
      <c r="C150" s="198" t="s">
        <v>15</v>
      </c>
      <c r="D150" s="198" t="s">
        <v>16</v>
      </c>
      <c r="E150" s="198"/>
      <c r="F150" s="199">
        <v>3052</v>
      </c>
      <c r="G150" s="199">
        <v>20000</v>
      </c>
      <c r="H150" s="25"/>
      <c r="I150" s="25"/>
      <c r="J150" s="25"/>
      <c r="O150" s="114"/>
      <c r="P150" s="114"/>
      <c r="Q150" s="115"/>
    </row>
    <row r="151" spans="1:17" ht="15.6" x14ac:dyDescent="0.3">
      <c r="A151" s="197">
        <v>46184</v>
      </c>
      <c r="B151" s="197"/>
      <c r="C151" s="198" t="s">
        <v>15</v>
      </c>
      <c r="D151" s="198" t="s">
        <v>16</v>
      </c>
      <c r="E151" s="198"/>
      <c r="F151" s="199">
        <v>3052</v>
      </c>
      <c r="G151" s="199">
        <v>20000</v>
      </c>
      <c r="H151" s="25"/>
      <c r="I151" s="25"/>
      <c r="J151" s="25"/>
      <c r="O151" s="114"/>
      <c r="P151" s="114"/>
      <c r="Q151" s="115"/>
    </row>
    <row r="152" spans="1:17" ht="15.6" x14ac:dyDescent="0.3">
      <c r="A152" s="197">
        <v>46196</v>
      </c>
      <c r="B152" s="197"/>
      <c r="C152" s="198" t="s">
        <v>15</v>
      </c>
      <c r="D152" s="198" t="s">
        <v>16</v>
      </c>
      <c r="E152" s="198"/>
      <c r="F152" s="199">
        <v>3050</v>
      </c>
      <c r="G152" s="199">
        <v>20000</v>
      </c>
      <c r="H152" s="25"/>
      <c r="I152" s="25"/>
      <c r="J152" s="25"/>
      <c r="O152" s="114"/>
      <c r="P152" s="114"/>
      <c r="Q152" s="115"/>
    </row>
    <row r="153" spans="1:17" ht="15.6" x14ac:dyDescent="0.3">
      <c r="A153" s="197">
        <v>46202</v>
      </c>
      <c r="B153" s="197"/>
      <c r="C153" s="198" t="s">
        <v>237</v>
      </c>
      <c r="D153" s="198" t="s">
        <v>238</v>
      </c>
      <c r="E153" s="198"/>
      <c r="F153" s="199">
        <v>3043</v>
      </c>
      <c r="G153" s="199">
        <v>20000</v>
      </c>
      <c r="H153" s="25"/>
      <c r="I153" s="25"/>
      <c r="J153" s="25"/>
      <c r="O153" s="114"/>
      <c r="P153" s="114"/>
      <c r="Q153" s="115"/>
    </row>
    <row r="154" spans="1:17" ht="15.6" x14ac:dyDescent="0.3">
      <c r="A154" s="197">
        <v>46174</v>
      </c>
      <c r="B154" s="197"/>
      <c r="C154" s="198" t="s">
        <v>237</v>
      </c>
      <c r="D154" s="198" t="s">
        <v>238</v>
      </c>
      <c r="E154" s="198"/>
      <c r="F154" s="199">
        <v>3043</v>
      </c>
      <c r="G154" s="199">
        <v>20000</v>
      </c>
      <c r="H154" s="25"/>
      <c r="I154" s="25"/>
      <c r="J154" s="25"/>
      <c r="O154" s="114"/>
      <c r="P154" s="114"/>
      <c r="Q154" s="115"/>
    </row>
    <row r="155" spans="1:17" ht="15.6" x14ac:dyDescent="0.3">
      <c r="A155" s="197">
        <v>46182</v>
      </c>
      <c r="B155" s="197"/>
      <c r="C155" s="198" t="s">
        <v>237</v>
      </c>
      <c r="D155" s="198" t="s">
        <v>238</v>
      </c>
      <c r="E155" s="198"/>
      <c r="F155" s="199">
        <v>3043</v>
      </c>
      <c r="G155" s="199">
        <v>20000</v>
      </c>
      <c r="H155" s="25"/>
      <c r="I155" s="25"/>
      <c r="J155" s="25"/>
      <c r="O155" s="114"/>
      <c r="P155" s="114"/>
      <c r="Q155" s="115"/>
    </row>
    <row r="156" spans="1:17" ht="15.6" x14ac:dyDescent="0.3">
      <c r="A156" s="197">
        <v>46202</v>
      </c>
      <c r="B156" s="197"/>
      <c r="C156" s="198" t="s">
        <v>237</v>
      </c>
      <c r="D156" s="198" t="s">
        <v>238</v>
      </c>
      <c r="E156" s="198"/>
      <c r="F156" s="199">
        <v>3043</v>
      </c>
      <c r="G156" s="199">
        <v>20000</v>
      </c>
      <c r="H156" s="25"/>
      <c r="I156" s="25"/>
      <c r="J156" s="25"/>
      <c r="O156" s="114"/>
      <c r="P156" s="114"/>
      <c r="Q156" s="115"/>
    </row>
    <row r="157" spans="1:17" ht="15.6" x14ac:dyDescent="0.3">
      <c r="A157" s="197">
        <v>46199</v>
      </c>
      <c r="B157" s="197"/>
      <c r="C157" s="198" t="s">
        <v>14</v>
      </c>
      <c r="D157" s="198" t="s">
        <v>57</v>
      </c>
      <c r="E157" s="198"/>
      <c r="F157" s="199">
        <v>2583</v>
      </c>
      <c r="G157" s="199">
        <v>19930</v>
      </c>
      <c r="H157" s="25"/>
      <c r="I157" s="25"/>
      <c r="J157" s="25"/>
      <c r="O157" s="114"/>
      <c r="P157" s="114"/>
      <c r="Q157" s="115"/>
    </row>
    <row r="158" spans="1:17" ht="15.6" x14ac:dyDescent="0.3">
      <c r="A158" s="197">
        <v>46191</v>
      </c>
      <c r="B158" s="197"/>
      <c r="C158" s="198" t="s">
        <v>116</v>
      </c>
      <c r="D158" s="198" t="s">
        <v>232</v>
      </c>
      <c r="E158" s="198"/>
      <c r="F158" s="199">
        <v>1830</v>
      </c>
      <c r="G158" s="199">
        <v>12000</v>
      </c>
      <c r="H158" s="25"/>
      <c r="I158" s="25"/>
      <c r="J158" s="25"/>
      <c r="O158" s="114"/>
      <c r="P158" s="114"/>
      <c r="Q158" s="115"/>
    </row>
    <row r="159" spans="1:17" ht="15.6" x14ac:dyDescent="0.3">
      <c r="A159" s="5"/>
      <c r="B159" s="53"/>
      <c r="C159" s="54"/>
      <c r="D159" s="54"/>
      <c r="E159" s="54"/>
      <c r="F159" s="55"/>
      <c r="G159" s="55"/>
      <c r="H159" s="25"/>
      <c r="I159" s="25"/>
      <c r="J159" s="25"/>
      <c r="O159" s="114"/>
      <c r="P159" s="114"/>
      <c r="Q159" s="115"/>
    </row>
    <row r="160" spans="1:17" ht="15.6" x14ac:dyDescent="0.3">
      <c r="A160" s="5"/>
      <c r="B160" s="53"/>
      <c r="C160" s="54"/>
      <c r="D160" s="54"/>
      <c r="E160" s="54"/>
      <c r="F160" s="55"/>
      <c r="G160" s="55"/>
      <c r="H160" s="25"/>
      <c r="I160" s="25"/>
      <c r="J160" s="25"/>
      <c r="O160" s="114"/>
      <c r="P160" s="114"/>
      <c r="Q160" s="115"/>
    </row>
    <row r="161" spans="1:17" ht="15.6" x14ac:dyDescent="0.3">
      <c r="A161" s="5">
        <v>46174</v>
      </c>
      <c r="B161" s="53"/>
      <c r="C161" s="54" t="s">
        <v>197</v>
      </c>
      <c r="D161" s="54" t="s">
        <v>17</v>
      </c>
      <c r="E161" s="54"/>
      <c r="F161" s="55"/>
      <c r="G161" s="55">
        <v>250000</v>
      </c>
      <c r="H161" s="25"/>
      <c r="I161" s="25"/>
      <c r="J161" s="25"/>
      <c r="O161" s="114"/>
      <c r="P161" s="114"/>
      <c r="Q161" s="115"/>
    </row>
    <row r="162" spans="1:17" ht="15.6" x14ac:dyDescent="0.3">
      <c r="A162" s="5">
        <v>46174</v>
      </c>
      <c r="B162" s="53"/>
      <c r="C162" s="54" t="s">
        <v>199</v>
      </c>
      <c r="D162" s="54" t="s">
        <v>198</v>
      </c>
      <c r="E162" s="54"/>
      <c r="F162" s="55"/>
      <c r="G162" s="55">
        <v>70000</v>
      </c>
      <c r="H162" s="25"/>
      <c r="I162" s="25"/>
      <c r="J162" s="25"/>
      <c r="O162" s="114"/>
      <c r="P162" s="114"/>
      <c r="Q162" s="115"/>
    </row>
    <row r="163" spans="1:17" ht="15.6" x14ac:dyDescent="0.3">
      <c r="A163" s="5">
        <v>46174</v>
      </c>
      <c r="B163" s="53"/>
      <c r="C163" s="54" t="s">
        <v>200</v>
      </c>
      <c r="D163" s="54" t="s">
        <v>201</v>
      </c>
      <c r="E163" s="54"/>
      <c r="F163" s="55"/>
      <c r="G163" s="55">
        <v>250000</v>
      </c>
      <c r="H163" s="25"/>
      <c r="I163" s="25"/>
      <c r="J163" s="25"/>
      <c r="O163" s="114"/>
      <c r="P163" s="114"/>
      <c r="Q163" s="115"/>
    </row>
    <row r="164" spans="1:17" ht="15.6" x14ac:dyDescent="0.3">
      <c r="A164" s="5">
        <v>46178</v>
      </c>
      <c r="B164" s="53"/>
      <c r="C164" s="54" t="s">
        <v>191</v>
      </c>
      <c r="D164" s="54" t="s">
        <v>190</v>
      </c>
      <c r="E164" s="54"/>
      <c r="F164" s="55"/>
      <c r="G164" s="55">
        <v>115500</v>
      </c>
      <c r="H164" s="25"/>
      <c r="I164" s="25"/>
      <c r="J164" s="25"/>
      <c r="O164" s="114"/>
      <c r="P164" s="114"/>
      <c r="Q164" s="115"/>
    </row>
    <row r="165" spans="1:17" ht="15.6" x14ac:dyDescent="0.3">
      <c r="A165" s="5">
        <v>46106</v>
      </c>
      <c r="B165" s="53"/>
      <c r="C165" s="54" t="s">
        <v>205</v>
      </c>
      <c r="D165" s="54" t="s">
        <v>204</v>
      </c>
      <c r="E165" s="54"/>
      <c r="F165" s="55"/>
      <c r="G165" s="55">
        <v>22100</v>
      </c>
      <c r="H165" s="25"/>
      <c r="I165" s="25"/>
      <c r="J165" s="25"/>
      <c r="O165" s="114"/>
      <c r="P165" s="114"/>
      <c r="Q165" s="115"/>
    </row>
    <row r="166" spans="1:17" ht="15.6" x14ac:dyDescent="0.3">
      <c r="A166" s="5">
        <v>46185</v>
      </c>
      <c r="B166" s="53"/>
      <c r="C166" s="54" t="s">
        <v>191</v>
      </c>
      <c r="D166" s="54" t="s">
        <v>190</v>
      </c>
      <c r="E166" s="54"/>
      <c r="F166" s="55"/>
      <c r="G166" s="55">
        <v>76500</v>
      </c>
      <c r="H166" s="25"/>
      <c r="I166" s="25"/>
      <c r="J166" s="25"/>
      <c r="O166" s="114"/>
      <c r="P166" s="114"/>
      <c r="Q166" s="115"/>
    </row>
    <row r="167" spans="1:17" ht="15.6" x14ac:dyDescent="0.3">
      <c r="A167" s="5">
        <v>46184</v>
      </c>
      <c r="B167" s="53"/>
      <c r="C167" s="54" t="s">
        <v>197</v>
      </c>
      <c r="D167" s="54" t="s">
        <v>17</v>
      </c>
      <c r="E167" s="54"/>
      <c r="F167" s="55"/>
      <c r="G167" s="55">
        <v>797500</v>
      </c>
      <c r="H167" s="25"/>
      <c r="I167" s="25"/>
      <c r="J167" s="25"/>
      <c r="O167" s="114"/>
      <c r="P167" s="114"/>
      <c r="Q167" s="115"/>
    </row>
    <row r="168" spans="1:17" ht="15.6" x14ac:dyDescent="0.3">
      <c r="A168" s="5">
        <v>46190</v>
      </c>
      <c r="B168" s="53"/>
      <c r="C168" s="54" t="s">
        <v>191</v>
      </c>
      <c r="D168" s="54" t="s">
        <v>233</v>
      </c>
      <c r="E168" s="54"/>
      <c r="F168" s="55"/>
      <c r="G168" s="55">
        <v>115500</v>
      </c>
      <c r="H168" s="25"/>
      <c r="I168" s="25"/>
      <c r="J168" s="25"/>
      <c r="O168" s="114"/>
      <c r="P168" s="114"/>
      <c r="Q168" s="115"/>
    </row>
    <row r="169" spans="1:17" ht="15.6" x14ac:dyDescent="0.3">
      <c r="A169" s="5">
        <v>46199</v>
      </c>
      <c r="B169" s="53"/>
      <c r="C169" s="54" t="s">
        <v>235</v>
      </c>
      <c r="D169" s="54" t="s">
        <v>234</v>
      </c>
      <c r="E169" s="54"/>
      <c r="F169" s="55"/>
      <c r="G169" s="55">
        <v>20000</v>
      </c>
      <c r="H169" s="25"/>
      <c r="I169" s="25"/>
      <c r="J169" s="25"/>
      <c r="O169" s="114"/>
      <c r="P169" s="114"/>
      <c r="Q169" s="115"/>
    </row>
    <row r="170" spans="1:17" ht="15.6" x14ac:dyDescent="0.3">
      <c r="A170" s="78">
        <v>46198</v>
      </c>
      <c r="B170" s="117"/>
      <c r="C170" s="172" t="s">
        <v>60</v>
      </c>
      <c r="D170" s="172" t="s">
        <v>17</v>
      </c>
      <c r="E170" s="59"/>
      <c r="F170" s="173"/>
      <c r="G170" s="60">
        <v>527220</v>
      </c>
      <c r="O170" s="114"/>
      <c r="P170" s="114"/>
      <c r="Q170" s="115"/>
    </row>
    <row r="171" spans="1:17" ht="15.6" x14ac:dyDescent="0.3">
      <c r="A171" s="78"/>
      <c r="B171" s="120" t="s">
        <v>18</v>
      </c>
      <c r="C171" s="120"/>
      <c r="D171" s="121">
        <v>16477000</v>
      </c>
      <c r="E171" s="122">
        <f>D171*18/118</f>
        <v>2513440.6779661016</v>
      </c>
      <c r="F171" s="103"/>
      <c r="G171" s="103"/>
      <c r="O171" s="114"/>
      <c r="P171" s="114"/>
      <c r="Q171" s="115"/>
    </row>
    <row r="172" spans="1:17" ht="15.6" x14ac:dyDescent="0.3">
      <c r="A172" s="78"/>
      <c r="B172" s="120" t="s">
        <v>19</v>
      </c>
      <c r="C172" s="120"/>
      <c r="D172" s="121">
        <v>1200000</v>
      </c>
      <c r="E172" s="122">
        <v>171458</v>
      </c>
      <c r="F172" s="103"/>
      <c r="G172" s="103"/>
      <c r="O172" s="114"/>
      <c r="P172" s="114"/>
      <c r="Q172" s="115"/>
    </row>
    <row r="173" spans="1:17" ht="15.6" x14ac:dyDescent="0.3">
      <c r="A173" s="78"/>
      <c r="B173" s="120"/>
      <c r="C173" s="121">
        <f>D171+D172</f>
        <v>17677000</v>
      </c>
      <c r="D173" s="148"/>
      <c r="E173" s="122">
        <f>D173*18/118</f>
        <v>0</v>
      </c>
      <c r="F173" s="103">
        <f>F119</f>
        <v>2962371</v>
      </c>
      <c r="G173" s="103"/>
      <c r="O173" s="114"/>
      <c r="P173" s="114"/>
      <c r="Q173" s="115"/>
    </row>
    <row r="174" spans="1:17" ht="15.6" x14ac:dyDescent="0.3">
      <c r="A174" s="78"/>
      <c r="B174" s="119" t="s">
        <v>20</v>
      </c>
      <c r="C174" s="119"/>
      <c r="D174" s="119"/>
      <c r="E174" s="119" t="s">
        <v>39</v>
      </c>
      <c r="F174" s="104" t="s">
        <v>40</v>
      </c>
      <c r="G174" s="104" t="s">
        <v>21</v>
      </c>
      <c r="O174" s="114"/>
      <c r="P174" s="114"/>
      <c r="Q174" s="115"/>
    </row>
    <row r="175" spans="1:17" ht="15.6" x14ac:dyDescent="0.3">
      <c r="A175" s="78"/>
      <c r="B175" s="102"/>
      <c r="C175" s="101"/>
      <c r="D175" s="102"/>
      <c r="E175" s="102"/>
      <c r="F175" s="103"/>
      <c r="G175" s="103"/>
      <c r="O175" s="114"/>
      <c r="P175" s="114"/>
      <c r="Q175" s="115"/>
    </row>
    <row r="176" spans="1:17" ht="15.6" x14ac:dyDescent="0.3">
      <c r="A176" s="78"/>
      <c r="B176" s="102" t="s">
        <v>22</v>
      </c>
      <c r="C176" s="102"/>
      <c r="D176" s="102"/>
      <c r="E176" s="103">
        <v>2513440</v>
      </c>
      <c r="F176" s="103"/>
      <c r="G176" s="103"/>
      <c r="O176" s="114"/>
      <c r="P176" s="114"/>
      <c r="Q176" s="115"/>
    </row>
    <row r="177" spans="1:17" ht="15.6" x14ac:dyDescent="0.3">
      <c r="A177" s="78"/>
      <c r="B177" s="102" t="s">
        <v>23</v>
      </c>
      <c r="C177" s="102"/>
      <c r="D177" s="102"/>
      <c r="E177" s="103">
        <v>171458</v>
      </c>
      <c r="F177" s="103"/>
      <c r="G177" s="103"/>
      <c r="O177" s="114"/>
      <c r="P177" s="114"/>
      <c r="Q177" s="115"/>
    </row>
    <row r="178" spans="1:17" ht="15.6" x14ac:dyDescent="0.3">
      <c r="A178" s="78"/>
      <c r="B178" s="102"/>
      <c r="C178" s="102"/>
      <c r="D178" s="102"/>
      <c r="E178" s="103"/>
      <c r="F178" s="103"/>
      <c r="G178" s="103"/>
      <c r="O178" s="114"/>
      <c r="P178" s="114"/>
      <c r="Q178" s="115"/>
    </row>
    <row r="179" spans="1:17" ht="15.6" x14ac:dyDescent="0.3">
      <c r="A179" s="78"/>
      <c r="B179" s="102" t="s">
        <v>24</v>
      </c>
      <c r="C179" s="102"/>
      <c r="D179" s="102"/>
      <c r="E179" s="103">
        <f>SUM(E176:E178)</f>
        <v>2684898</v>
      </c>
      <c r="F179" s="103">
        <f>F173</f>
        <v>2962371</v>
      </c>
      <c r="G179" s="123">
        <f>E179-F179</f>
        <v>-277473</v>
      </c>
      <c r="H179" s="26" t="s">
        <v>243</v>
      </c>
      <c r="O179" s="114"/>
      <c r="P179" s="114"/>
      <c r="Q179" s="115"/>
    </row>
    <row r="180" spans="1:17" ht="15.6" x14ac:dyDescent="0.3">
      <c r="A180" s="78"/>
      <c r="B180" s="102"/>
      <c r="C180" s="102"/>
      <c r="D180" s="102"/>
      <c r="E180" s="103"/>
      <c r="F180" s="103"/>
      <c r="G180" s="103">
        <v>146503</v>
      </c>
      <c r="H180" s="26"/>
      <c r="O180" s="114"/>
      <c r="P180" s="114"/>
      <c r="Q180" s="115"/>
    </row>
    <row r="181" spans="1:17" ht="21" x14ac:dyDescent="0.4">
      <c r="A181" s="78"/>
      <c r="B181" s="181" t="s">
        <v>25</v>
      </c>
      <c r="C181" s="181"/>
      <c r="D181" s="181"/>
      <c r="E181" s="182">
        <f>G179*118/18</f>
        <v>-1818989.6666666667</v>
      </c>
      <c r="F181" s="182" t="s">
        <v>29</v>
      </c>
      <c r="G181" s="187">
        <f>G179-G180</f>
        <v>-423976</v>
      </c>
      <c r="H181" s="26" t="s">
        <v>242</v>
      </c>
      <c r="O181" s="114"/>
      <c r="P181" s="114"/>
      <c r="Q181" s="115"/>
    </row>
    <row r="182" spans="1:17" ht="15.6" x14ac:dyDescent="0.3">
      <c r="A182" s="78"/>
      <c r="B182" s="21"/>
      <c r="C182" s="21"/>
      <c r="D182" s="21"/>
      <c r="E182" s="1"/>
      <c r="F182" s="17"/>
      <c r="G182" s="7"/>
      <c r="O182" s="114"/>
      <c r="P182" s="114"/>
      <c r="Q182" s="115"/>
    </row>
    <row r="183" spans="1:17" ht="15.6" x14ac:dyDescent="0.3">
      <c r="A183" s="78"/>
      <c r="B183" s="21"/>
      <c r="C183" s="21"/>
      <c r="D183" s="21"/>
      <c r="E183" s="1"/>
      <c r="F183" s="17"/>
      <c r="G183" s="7"/>
      <c r="O183" s="114"/>
      <c r="P183" s="114"/>
      <c r="Q183" s="115"/>
    </row>
    <row r="184" spans="1:17" ht="15.6" x14ac:dyDescent="0.3">
      <c r="A184" s="78"/>
      <c r="B184" s="30"/>
      <c r="C184" s="21"/>
      <c r="D184" s="21"/>
      <c r="E184" s="1"/>
      <c r="F184" s="17"/>
      <c r="G184" s="7"/>
      <c r="O184" s="114"/>
      <c r="P184" s="114"/>
      <c r="Q184" s="115"/>
    </row>
    <row r="185" spans="1:17" ht="15.6" x14ac:dyDescent="0.3">
      <c r="A185" s="78"/>
      <c r="B185" s="53"/>
      <c r="C185" s="54"/>
      <c r="D185" s="54"/>
      <c r="E185" s="54"/>
      <c r="F185" s="55"/>
      <c r="G185" s="55"/>
      <c r="H185" s="56"/>
      <c r="O185" s="114"/>
      <c r="P185" s="114"/>
      <c r="Q185" s="115"/>
    </row>
    <row r="186" spans="1:17" ht="15.6" x14ac:dyDescent="0.3">
      <c r="A186" s="78"/>
      <c r="B186" s="53"/>
      <c r="C186" s="54"/>
      <c r="D186" s="54"/>
      <c r="E186" s="54"/>
      <c r="F186" s="55"/>
      <c r="G186" s="55"/>
      <c r="H186" s="56"/>
      <c r="O186" s="114"/>
      <c r="P186" s="114"/>
      <c r="Q186" s="115"/>
    </row>
    <row r="187" spans="1:17" ht="15.6" x14ac:dyDescent="0.3">
      <c r="A187" s="78"/>
      <c r="B187" s="53"/>
      <c r="C187" s="54"/>
      <c r="D187" s="54"/>
      <c r="E187" s="54"/>
      <c r="F187" s="55"/>
      <c r="G187" s="55"/>
      <c r="H187" s="56"/>
      <c r="O187" s="114"/>
      <c r="P187" s="114"/>
      <c r="Q187" s="115"/>
    </row>
    <row r="188" spans="1:17" ht="15.6" x14ac:dyDescent="0.3">
      <c r="A188" s="78"/>
      <c r="B188" s="53"/>
      <c r="C188" s="54"/>
      <c r="D188" s="54"/>
      <c r="E188" s="54"/>
      <c r="F188" s="55"/>
      <c r="G188" s="55"/>
      <c r="H188" s="56"/>
      <c r="O188" s="114"/>
      <c r="P188" s="114"/>
      <c r="Q188" s="115"/>
    </row>
    <row r="189" spans="1:17" ht="15.6" x14ac:dyDescent="0.3">
      <c r="A189" s="78"/>
      <c r="B189" s="53"/>
      <c r="C189" s="54"/>
      <c r="D189" s="54"/>
      <c r="E189" s="54"/>
      <c r="F189" s="55"/>
      <c r="G189" s="55"/>
      <c r="H189" s="56"/>
      <c r="O189" s="114"/>
      <c r="P189" s="114"/>
      <c r="Q189" s="115"/>
    </row>
    <row r="190" spans="1:17" ht="15.6" x14ac:dyDescent="0.3">
      <c r="A190" s="78"/>
      <c r="B190" s="53"/>
      <c r="C190" s="54"/>
      <c r="D190" s="54"/>
      <c r="E190" s="54"/>
      <c r="F190" s="55"/>
      <c r="G190" s="55"/>
      <c r="H190" s="56"/>
      <c r="O190" s="114"/>
      <c r="P190" s="114"/>
      <c r="Q190" s="115"/>
    </row>
    <row r="191" spans="1:17" ht="15.6" x14ac:dyDescent="0.3">
      <c r="A191" s="78"/>
      <c r="B191" s="53"/>
      <c r="C191" s="54"/>
      <c r="D191" s="54"/>
      <c r="E191" s="54"/>
      <c r="F191" s="55"/>
      <c r="G191" s="55"/>
      <c r="H191" s="56"/>
      <c r="O191" s="114"/>
      <c r="P191" s="114"/>
      <c r="Q191" s="115"/>
    </row>
    <row r="192" spans="1:17" ht="15.6" x14ac:dyDescent="0.3">
      <c r="A192" s="78"/>
      <c r="B192" s="53"/>
      <c r="C192" s="54"/>
      <c r="D192" s="54"/>
      <c r="E192" s="54"/>
      <c r="F192" s="55"/>
      <c r="G192" s="55"/>
      <c r="H192" s="56"/>
      <c r="O192" s="114"/>
      <c r="P192" s="114"/>
      <c r="Q192" s="115"/>
    </row>
    <row r="193" spans="1:17" ht="15.6" x14ac:dyDescent="0.3">
      <c r="A193" s="78"/>
      <c r="B193" s="53"/>
      <c r="C193" s="54"/>
      <c r="D193" s="54"/>
      <c r="E193" s="54"/>
      <c r="F193" s="55"/>
      <c r="G193" s="55"/>
      <c r="H193" s="56"/>
      <c r="O193" s="114"/>
      <c r="P193" s="114"/>
      <c r="Q193" s="115"/>
    </row>
    <row r="194" spans="1:17" ht="15.6" x14ac:dyDescent="0.3">
      <c r="A194" s="78"/>
      <c r="B194" s="53"/>
      <c r="C194" s="54"/>
      <c r="D194" s="54"/>
      <c r="E194" s="54"/>
      <c r="F194" s="55"/>
      <c r="G194" s="55"/>
      <c r="H194" s="56"/>
      <c r="O194" s="114"/>
      <c r="P194" s="114"/>
      <c r="Q194" s="115"/>
    </row>
    <row r="195" spans="1:17" ht="15.6" x14ac:dyDescent="0.3">
      <c r="A195" s="78"/>
      <c r="B195" s="53"/>
      <c r="C195" s="54"/>
      <c r="D195" s="54"/>
      <c r="E195" s="54"/>
      <c r="F195" s="55"/>
      <c r="G195" s="55"/>
      <c r="H195" s="56"/>
      <c r="O195" s="114"/>
      <c r="P195" s="114"/>
      <c r="Q195" s="115"/>
    </row>
    <row r="196" spans="1:17" ht="15.6" x14ac:dyDescent="0.3">
      <c r="A196" s="78"/>
      <c r="B196" s="53"/>
      <c r="C196" s="54"/>
      <c r="D196" s="54"/>
      <c r="E196" s="54"/>
      <c r="F196" s="55"/>
      <c r="G196" s="55"/>
      <c r="H196" s="56"/>
      <c r="O196" s="114"/>
      <c r="P196" s="114"/>
      <c r="Q196" s="115"/>
    </row>
    <row r="197" spans="1:17" ht="15.6" x14ac:dyDescent="0.3">
      <c r="A197" s="78"/>
      <c r="B197" s="54"/>
      <c r="C197" s="54"/>
      <c r="D197" s="54"/>
      <c r="E197" s="54"/>
      <c r="F197" s="55"/>
      <c r="G197" s="55"/>
      <c r="H197" s="56"/>
      <c r="O197" s="114"/>
      <c r="P197" s="114"/>
      <c r="Q197" s="115"/>
    </row>
    <row r="198" spans="1:17" x14ac:dyDescent="0.3">
      <c r="A198" s="78"/>
      <c r="B198" s="53"/>
      <c r="C198" s="54"/>
      <c r="D198" s="54"/>
      <c r="E198" s="54"/>
      <c r="F198" s="55"/>
      <c r="G198" s="55"/>
      <c r="H198" s="56"/>
    </row>
    <row r="199" spans="1:17" x14ac:dyDescent="0.3">
      <c r="A199" s="78"/>
      <c r="B199" s="53"/>
      <c r="C199" s="54"/>
      <c r="D199" s="54"/>
      <c r="E199" s="54"/>
      <c r="F199" s="55"/>
      <c r="G199" s="55"/>
      <c r="H199" s="56"/>
    </row>
    <row r="200" spans="1:17" x14ac:dyDescent="0.3">
      <c r="A200" s="78"/>
      <c r="B200" s="54"/>
      <c r="C200" s="54"/>
      <c r="D200" s="54"/>
      <c r="E200" s="54"/>
      <c r="F200" s="55"/>
      <c r="G200" s="55"/>
      <c r="H200" s="56"/>
    </row>
    <row r="201" spans="1:17" x14ac:dyDescent="0.3">
      <c r="A201" s="78"/>
      <c r="B201" s="53"/>
      <c r="C201" s="54"/>
      <c r="D201" s="54"/>
      <c r="E201" s="54"/>
      <c r="F201" s="55"/>
      <c r="G201" s="55"/>
      <c r="H201" s="56"/>
    </row>
    <row r="202" spans="1:17" x14ac:dyDescent="0.3">
      <c r="A202" s="78"/>
      <c r="B202" s="53"/>
      <c r="C202" s="54"/>
      <c r="D202" s="54"/>
      <c r="E202" s="54"/>
      <c r="F202" s="55"/>
      <c r="G202" s="55"/>
      <c r="H202" s="56"/>
    </row>
    <row r="203" spans="1:17" x14ac:dyDescent="0.3">
      <c r="A203" s="78"/>
      <c r="B203" s="53"/>
      <c r="C203" s="54"/>
      <c r="D203" s="54"/>
      <c r="E203" s="54"/>
      <c r="F203" s="55"/>
      <c r="G203" s="55"/>
      <c r="H203" s="56"/>
    </row>
    <row r="204" spans="1:17" x14ac:dyDescent="0.3">
      <c r="A204" s="78"/>
      <c r="B204" s="53"/>
      <c r="C204" s="54"/>
      <c r="D204" s="54"/>
      <c r="E204" s="54"/>
      <c r="F204" s="55"/>
      <c r="G204" s="157"/>
      <c r="H204" s="56"/>
    </row>
    <row r="205" spans="1:17" x14ac:dyDescent="0.3">
      <c r="A205" s="78"/>
      <c r="B205" s="53"/>
      <c r="C205" s="54"/>
      <c r="D205" s="54"/>
      <c r="E205" s="54"/>
      <c r="F205" s="55"/>
      <c r="G205" s="55"/>
      <c r="H205" s="56"/>
    </row>
    <row r="206" spans="1:17" x14ac:dyDescent="0.3">
      <c r="A206" s="78"/>
      <c r="B206" s="53"/>
      <c r="C206" s="54"/>
      <c r="D206" s="54"/>
      <c r="E206" s="54"/>
      <c r="F206" s="55"/>
      <c r="G206" s="55"/>
      <c r="H206" s="56"/>
    </row>
    <row r="207" spans="1:17" x14ac:dyDescent="0.3">
      <c r="A207" s="78"/>
      <c r="B207" s="53"/>
      <c r="C207" s="54"/>
      <c r="D207" s="54"/>
      <c r="E207" s="54"/>
      <c r="F207" s="55"/>
      <c r="G207" s="55"/>
      <c r="H207" s="56"/>
    </row>
    <row r="208" spans="1:17" x14ac:dyDescent="0.3">
      <c r="A208" s="78"/>
      <c r="B208" s="53"/>
      <c r="C208" s="54"/>
      <c r="D208" s="54"/>
      <c r="E208" s="54"/>
      <c r="F208" s="55"/>
      <c r="G208" s="55"/>
      <c r="H208" s="56"/>
    </row>
    <row r="209" spans="1:9" x14ac:dyDescent="0.3">
      <c r="A209" s="78"/>
      <c r="B209" s="53"/>
      <c r="C209" s="54"/>
      <c r="D209" s="54"/>
      <c r="E209" s="54"/>
      <c r="F209" s="55"/>
      <c r="G209" s="55"/>
      <c r="H209" s="56"/>
    </row>
    <row r="210" spans="1:9" x14ac:dyDescent="0.3">
      <c r="A210" s="78"/>
      <c r="B210" s="5"/>
      <c r="C210" s="1"/>
      <c r="D210" s="1"/>
      <c r="E210" s="1"/>
      <c r="F210" s="7"/>
      <c r="G210" s="7"/>
    </row>
    <row r="211" spans="1:9" x14ac:dyDescent="0.3">
      <c r="A211" s="78"/>
      <c r="B211" s="5"/>
      <c r="C211" s="1"/>
      <c r="D211" s="1"/>
      <c r="E211" s="1"/>
      <c r="F211" s="7"/>
      <c r="G211" s="7"/>
    </row>
    <row r="212" spans="1:9" x14ac:dyDescent="0.3">
      <c r="A212" s="78"/>
      <c r="B212" s="5"/>
      <c r="C212" s="1"/>
      <c r="D212" s="1"/>
      <c r="E212" s="1"/>
      <c r="F212" s="7"/>
      <c r="G212" s="7"/>
      <c r="I212" s="20"/>
    </row>
    <row r="213" spans="1:9" x14ac:dyDescent="0.3">
      <c r="A213" s="78"/>
      <c r="B213" s="1"/>
      <c r="C213" s="1"/>
      <c r="D213" s="1"/>
      <c r="E213" s="1"/>
      <c r="F213" s="7"/>
      <c r="G213" s="7"/>
    </row>
    <row r="214" spans="1:9" x14ac:dyDescent="0.3">
      <c r="A214" s="78"/>
      <c r="B214" s="1"/>
      <c r="C214" s="1"/>
      <c r="D214" s="1"/>
      <c r="E214" s="1"/>
      <c r="F214" s="7"/>
      <c r="G214" s="7"/>
    </row>
    <row r="215" spans="1:9" x14ac:dyDescent="0.3">
      <c r="A215" s="78"/>
      <c r="B215" s="30"/>
      <c r="C215" s="21"/>
      <c r="D215" s="21"/>
      <c r="E215" s="1"/>
      <c r="F215" s="7"/>
      <c r="G215" s="7"/>
    </row>
    <row r="216" spans="1:9" x14ac:dyDescent="0.3">
      <c r="A216" s="78"/>
      <c r="B216" s="30"/>
      <c r="C216" s="21"/>
      <c r="D216" s="21"/>
      <c r="E216" s="1"/>
      <c r="F216" s="7"/>
      <c r="G216" s="7"/>
    </row>
    <row r="217" spans="1:9" ht="21" x14ac:dyDescent="0.4">
      <c r="A217" s="78"/>
      <c r="B217" s="125"/>
      <c r="C217" s="125"/>
      <c r="D217" s="125"/>
      <c r="E217" s="125"/>
      <c r="F217" s="126"/>
      <c r="G217" s="126"/>
    </row>
    <row r="218" spans="1:9" ht="15.6" x14ac:dyDescent="0.3">
      <c r="A218" s="25"/>
      <c r="B218" s="120" t="s">
        <v>18</v>
      </c>
      <c r="C218" s="120"/>
      <c r="D218" s="121">
        <v>19789250</v>
      </c>
      <c r="E218" s="122">
        <f>D218*18/118</f>
        <v>3018699.1525423727</v>
      </c>
      <c r="F218" s="103"/>
      <c r="G218" s="103"/>
    </row>
    <row r="219" spans="1:9" ht="21" x14ac:dyDescent="0.4">
      <c r="A219" s="125"/>
      <c r="B219" s="120" t="s">
        <v>19</v>
      </c>
      <c r="C219" s="120"/>
      <c r="D219" s="121">
        <v>1805900</v>
      </c>
      <c r="E219" s="122">
        <f>D219*18/118</f>
        <v>275476.27118644066</v>
      </c>
      <c r="F219" s="103"/>
      <c r="G219" s="103"/>
    </row>
    <row r="220" spans="1:9" ht="15.6" x14ac:dyDescent="0.3">
      <c r="A220" s="95"/>
      <c r="B220" s="120"/>
      <c r="C220" s="121">
        <f>D218+D219</f>
        <v>21595150</v>
      </c>
      <c r="D220" s="120"/>
      <c r="E220" s="122">
        <f>D220*18/118</f>
        <v>0</v>
      </c>
      <c r="F220" s="103">
        <f>SUM(F184:F219)</f>
        <v>0</v>
      </c>
      <c r="G220" s="103"/>
    </row>
    <row r="221" spans="1:9" x14ac:dyDescent="0.3">
      <c r="A221" s="95"/>
      <c r="B221" s="119" t="s">
        <v>20</v>
      </c>
      <c r="C221" s="119"/>
      <c r="D221" s="119"/>
      <c r="E221" s="119" t="s">
        <v>39</v>
      </c>
      <c r="F221" s="104" t="s">
        <v>40</v>
      </c>
      <c r="G221" s="104" t="s">
        <v>21</v>
      </c>
    </row>
    <row r="222" spans="1:9" x14ac:dyDescent="0.3">
      <c r="A222" s="95"/>
      <c r="B222" s="102"/>
      <c r="C222" s="101"/>
      <c r="D222" s="102"/>
      <c r="E222" s="102"/>
      <c r="F222" s="103"/>
      <c r="G222" s="103"/>
    </row>
    <row r="223" spans="1:9" x14ac:dyDescent="0.3">
      <c r="A223" s="95"/>
      <c r="B223" s="102" t="s">
        <v>22</v>
      </c>
      <c r="C223" s="102"/>
      <c r="D223" s="102"/>
      <c r="E223" s="103">
        <v>3018699</v>
      </c>
      <c r="F223" s="103"/>
      <c r="G223" s="103"/>
    </row>
    <row r="224" spans="1:9" x14ac:dyDescent="0.3">
      <c r="A224" s="95"/>
      <c r="B224" s="102" t="s">
        <v>23</v>
      </c>
      <c r="C224" s="102"/>
      <c r="D224" s="102"/>
      <c r="E224" s="103">
        <v>275476</v>
      </c>
      <c r="F224" s="103"/>
      <c r="G224" s="103"/>
    </row>
    <row r="225" spans="1:10" x14ac:dyDescent="0.3">
      <c r="A225" s="95"/>
      <c r="B225" s="102"/>
      <c r="C225" s="102"/>
      <c r="D225" s="102"/>
      <c r="E225" s="103"/>
      <c r="F225" s="103"/>
      <c r="G225" s="103"/>
    </row>
    <row r="226" spans="1:10" x14ac:dyDescent="0.3">
      <c r="A226" s="95"/>
      <c r="B226" s="102" t="s">
        <v>24</v>
      </c>
      <c r="C226" s="102"/>
      <c r="D226" s="102"/>
      <c r="E226" s="103">
        <f>SUM(E223:E225)</f>
        <v>3294175</v>
      </c>
      <c r="F226" s="103">
        <f>F220</f>
        <v>0</v>
      </c>
      <c r="G226" s="123">
        <f>E226-F226</f>
        <v>3294175</v>
      </c>
    </row>
    <row r="227" spans="1:10" x14ac:dyDescent="0.3">
      <c r="A227" s="95"/>
      <c r="B227" s="102"/>
      <c r="C227" s="149">
        <v>46106</v>
      </c>
      <c r="D227" s="102"/>
      <c r="E227" s="103"/>
      <c r="F227" s="103"/>
      <c r="G227" s="103"/>
    </row>
    <row r="228" spans="1:10" x14ac:dyDescent="0.3">
      <c r="A228" s="95"/>
      <c r="B228" s="129" t="s">
        <v>25</v>
      </c>
      <c r="C228" s="129"/>
      <c r="D228" s="129"/>
      <c r="E228" s="130">
        <f>G226*118/18</f>
        <v>21595147.222222224</v>
      </c>
      <c r="F228" s="130" t="s">
        <v>29</v>
      </c>
      <c r="G228" s="130"/>
    </row>
    <row r="229" spans="1:10" x14ac:dyDescent="0.3">
      <c r="A229" s="95"/>
      <c r="B229" s="27"/>
      <c r="C229" s="27"/>
      <c r="D229" s="27"/>
      <c r="E229" s="25"/>
      <c r="F229" s="35"/>
      <c r="G229" s="35"/>
    </row>
    <row r="230" spans="1:10" x14ac:dyDescent="0.3">
      <c r="A230" s="95"/>
      <c r="B230" s="25"/>
      <c r="C230" s="27"/>
      <c r="D230" s="27"/>
      <c r="E230" s="25"/>
      <c r="F230" s="35"/>
      <c r="G230" s="35"/>
      <c r="J230" s="20"/>
    </row>
    <row r="231" spans="1:10" x14ac:dyDescent="0.3">
      <c r="A231" s="95"/>
      <c r="B231" s="25"/>
      <c r="C231" s="27"/>
      <c r="D231" s="27"/>
      <c r="E231" s="25"/>
      <c r="F231" s="35"/>
      <c r="G231" s="35"/>
      <c r="J231" s="20"/>
    </row>
    <row r="232" spans="1:10" x14ac:dyDescent="0.3">
      <c r="A232" s="95"/>
      <c r="B232" s="25"/>
      <c r="C232" s="27"/>
      <c r="D232" s="27"/>
      <c r="E232" s="25"/>
      <c r="F232" s="35"/>
      <c r="G232" s="35"/>
      <c r="J232" s="20"/>
    </row>
    <row r="233" spans="1:10" x14ac:dyDescent="0.3">
      <c r="A233" s="95"/>
      <c r="B233" s="25"/>
      <c r="C233" s="27"/>
      <c r="D233" s="27"/>
      <c r="E233" s="25"/>
      <c r="F233" s="35"/>
      <c r="G233" s="35"/>
      <c r="J233" s="20"/>
    </row>
    <row r="234" spans="1:10" x14ac:dyDescent="0.3">
      <c r="A234" s="95"/>
      <c r="B234" s="25"/>
      <c r="C234" s="27"/>
      <c r="D234" s="27"/>
      <c r="E234" s="25"/>
      <c r="F234" s="35"/>
      <c r="G234" s="35"/>
      <c r="J234" s="20"/>
    </row>
    <row r="235" spans="1:10" x14ac:dyDescent="0.3">
      <c r="A235" s="95"/>
      <c r="B235" s="27"/>
      <c r="C235" s="27"/>
      <c r="D235" s="27"/>
      <c r="E235" s="25"/>
      <c r="F235" s="35"/>
      <c r="G235" s="35"/>
      <c r="J235" s="20"/>
    </row>
    <row r="236" spans="1:10" x14ac:dyDescent="0.3">
      <c r="A236" s="95"/>
      <c r="B236" s="27"/>
      <c r="C236" s="27"/>
      <c r="D236" s="27"/>
      <c r="E236" s="25"/>
      <c r="F236" s="35"/>
      <c r="G236" s="35"/>
    </row>
    <row r="237" spans="1:10" x14ac:dyDescent="0.3">
      <c r="A237" s="95"/>
      <c r="B237" s="27"/>
      <c r="C237" s="27"/>
      <c r="D237" s="27"/>
      <c r="E237" s="25"/>
      <c r="F237" s="35"/>
      <c r="G237" s="35"/>
    </row>
    <row r="238" spans="1:10" x14ac:dyDescent="0.3">
      <c r="A238" s="95"/>
      <c r="B238" s="25"/>
      <c r="C238" s="27"/>
      <c r="D238" s="27"/>
      <c r="E238" s="25"/>
      <c r="F238" s="35"/>
      <c r="G238" s="35"/>
    </row>
    <row r="239" spans="1:10" x14ac:dyDescent="0.3">
      <c r="A239" s="95"/>
      <c r="B239" s="27"/>
      <c r="C239" s="27"/>
      <c r="D239" s="27"/>
      <c r="E239" s="25"/>
      <c r="F239" s="35"/>
      <c r="G239" s="35"/>
    </row>
    <row r="240" spans="1:10" x14ac:dyDescent="0.3">
      <c r="A240" s="95"/>
      <c r="B240" s="25"/>
      <c r="C240" s="27"/>
      <c r="D240" s="27"/>
      <c r="E240" s="25"/>
      <c r="F240" s="35"/>
      <c r="G240" s="38"/>
    </row>
    <row r="241" spans="1:7" x14ac:dyDescent="0.3">
      <c r="A241" s="95"/>
      <c r="B241" s="25"/>
      <c r="C241" s="25"/>
      <c r="D241" s="25"/>
      <c r="E241" s="25"/>
      <c r="F241" s="35"/>
      <c r="G241" s="38"/>
    </row>
    <row r="242" spans="1:7" ht="16.2" customHeight="1" x14ac:dyDescent="0.3">
      <c r="A242" s="95"/>
      <c r="B242" s="25"/>
      <c r="C242" s="25"/>
      <c r="D242" s="25"/>
      <c r="E242" s="25"/>
      <c r="F242" s="35"/>
      <c r="G242" s="35"/>
    </row>
    <row r="243" spans="1:7" ht="16.2" customHeight="1" x14ac:dyDescent="0.3">
      <c r="A243" s="95"/>
      <c r="B243" s="25"/>
      <c r="C243" s="27"/>
      <c r="D243" s="27"/>
      <c r="E243" s="25"/>
      <c r="F243" s="35"/>
      <c r="G243" s="35"/>
    </row>
    <row r="244" spans="1:7" x14ac:dyDescent="0.3">
      <c r="A244" s="95"/>
      <c r="B244" s="25"/>
      <c r="C244" s="27"/>
      <c r="D244" s="27"/>
      <c r="E244" s="25"/>
      <c r="F244" s="35"/>
      <c r="G244" s="35"/>
    </row>
    <row r="245" spans="1:7" x14ac:dyDescent="0.3">
      <c r="A245" s="95"/>
      <c r="B245" s="25"/>
      <c r="C245" s="27"/>
      <c r="D245" s="27"/>
      <c r="E245" s="25"/>
      <c r="F245" s="35"/>
      <c r="G245" s="124"/>
    </row>
    <row r="246" spans="1:7" x14ac:dyDescent="0.3">
      <c r="A246" s="78"/>
      <c r="B246" s="25"/>
      <c r="C246" s="27"/>
      <c r="D246" s="27"/>
      <c r="E246" s="25"/>
      <c r="F246" s="35"/>
      <c r="G246" s="35"/>
    </row>
    <row r="247" spans="1:7" x14ac:dyDescent="0.3">
      <c r="A247" s="78"/>
      <c r="B247" s="25"/>
      <c r="C247" s="27"/>
      <c r="D247" s="27"/>
      <c r="E247" s="25"/>
      <c r="F247" s="35"/>
      <c r="G247" s="35"/>
    </row>
    <row r="248" spans="1:7" x14ac:dyDescent="0.3">
      <c r="A248" s="78"/>
      <c r="B248" s="25"/>
      <c r="C248" s="27"/>
      <c r="D248" s="27"/>
      <c r="E248" s="25"/>
      <c r="F248" s="35"/>
      <c r="G248" s="35"/>
    </row>
    <row r="249" spans="1:7" x14ac:dyDescent="0.3">
      <c r="A249" s="78"/>
      <c r="B249" s="25"/>
      <c r="C249" s="25"/>
      <c r="D249" s="25"/>
      <c r="E249" s="25"/>
      <c r="F249" s="35"/>
      <c r="G249" s="35"/>
    </row>
    <row r="250" spans="1:7" ht="21" x14ac:dyDescent="0.4">
      <c r="A250" s="78"/>
      <c r="B250" s="125"/>
      <c r="C250" s="125"/>
      <c r="D250" s="125"/>
      <c r="E250" s="125"/>
      <c r="F250" s="126"/>
      <c r="G250" s="126"/>
    </row>
    <row r="251" spans="1:7" x14ac:dyDescent="0.3">
      <c r="A251" s="25"/>
      <c r="B251" s="25"/>
      <c r="C251" s="25"/>
      <c r="D251" s="25"/>
      <c r="E251" s="25"/>
      <c r="F251" s="35"/>
      <c r="G251" s="35"/>
    </row>
    <row r="252" spans="1:7" ht="21" x14ac:dyDescent="0.4">
      <c r="A252" s="125"/>
      <c r="B252" s="25"/>
      <c r="C252" s="25"/>
      <c r="D252" s="25"/>
      <c r="E252" s="25"/>
      <c r="F252" s="35"/>
      <c r="G252" s="35"/>
    </row>
    <row r="253" spans="1:7" x14ac:dyDescent="0.3">
      <c r="A253" s="78"/>
      <c r="B253" s="25"/>
      <c r="C253" s="25"/>
      <c r="D253" s="25"/>
      <c r="E253" s="25"/>
      <c r="F253" s="35"/>
      <c r="G253" s="35"/>
    </row>
    <row r="254" spans="1:7" x14ac:dyDescent="0.3">
      <c r="A254" s="78"/>
      <c r="B254" s="25"/>
      <c r="C254" s="25"/>
      <c r="D254" s="25"/>
      <c r="E254" s="25"/>
      <c r="F254" s="35"/>
      <c r="G254" s="35"/>
    </row>
    <row r="255" spans="1:7" x14ac:dyDescent="0.3">
      <c r="A255" s="78"/>
      <c r="B255" s="25"/>
      <c r="C255" s="25"/>
      <c r="D255" s="25"/>
      <c r="E255" s="25"/>
      <c r="F255" s="35"/>
      <c r="G255" s="35"/>
    </row>
    <row r="256" spans="1:7" x14ac:dyDescent="0.3">
      <c r="A256" s="78"/>
      <c r="B256" s="25"/>
      <c r="C256" s="25"/>
      <c r="D256" s="25"/>
      <c r="E256" s="25"/>
      <c r="F256" s="35"/>
      <c r="G256" s="35"/>
    </row>
    <row r="257" spans="1:7" x14ac:dyDescent="0.3">
      <c r="A257" s="78"/>
      <c r="B257" s="25"/>
      <c r="C257" s="25"/>
      <c r="D257" s="25"/>
      <c r="E257" s="25"/>
      <c r="F257" s="35"/>
      <c r="G257" s="35"/>
    </row>
    <row r="258" spans="1:7" x14ac:dyDescent="0.3">
      <c r="A258" s="78"/>
      <c r="B258" s="25"/>
      <c r="C258" s="25"/>
      <c r="D258" s="25"/>
      <c r="E258" s="25"/>
      <c r="F258" s="35"/>
      <c r="G258" s="35"/>
    </row>
    <row r="259" spans="1:7" x14ac:dyDescent="0.3">
      <c r="A259" s="78"/>
      <c r="B259" s="25"/>
      <c r="C259" s="25"/>
      <c r="D259" s="25"/>
      <c r="E259" s="25"/>
      <c r="F259" s="35"/>
      <c r="G259" s="35"/>
    </row>
    <row r="260" spans="1:7" x14ac:dyDescent="0.3">
      <c r="A260" s="25"/>
      <c r="B260" s="25"/>
      <c r="C260" s="25"/>
      <c r="D260" s="25"/>
      <c r="E260" s="25"/>
      <c r="F260" s="35"/>
      <c r="G260" s="35"/>
    </row>
    <row r="261" spans="1:7" x14ac:dyDescent="0.3">
      <c r="A261" s="25"/>
      <c r="B261" s="25"/>
      <c r="C261" s="25"/>
      <c r="D261" s="25"/>
      <c r="E261" s="25"/>
      <c r="F261" s="35"/>
      <c r="G261" s="35"/>
    </row>
    <row r="262" spans="1:7" x14ac:dyDescent="0.3">
      <c r="A262" s="25"/>
      <c r="B262" s="25"/>
      <c r="C262" s="25"/>
      <c r="D262" s="25"/>
      <c r="E262" s="35"/>
      <c r="F262" s="35"/>
      <c r="G262" s="35"/>
    </row>
    <row r="263" spans="1:7" x14ac:dyDescent="0.3">
      <c r="A263" s="25"/>
      <c r="B263" s="25"/>
      <c r="C263" s="25"/>
      <c r="D263" s="127"/>
      <c r="E263" s="35"/>
      <c r="F263" s="35"/>
      <c r="G263" s="35"/>
    </row>
    <row r="264" spans="1:7" x14ac:dyDescent="0.3">
      <c r="A264" s="25"/>
      <c r="B264" s="25"/>
      <c r="C264" s="25"/>
      <c r="D264" s="127"/>
      <c r="E264" s="35"/>
      <c r="F264" s="35"/>
      <c r="G264" s="35"/>
    </row>
    <row r="265" spans="1:7" x14ac:dyDescent="0.3">
      <c r="A265" s="25"/>
      <c r="B265" s="25"/>
      <c r="C265" s="25"/>
      <c r="D265" s="25"/>
      <c r="E265" s="25"/>
      <c r="F265" s="35"/>
      <c r="G265" s="35"/>
    </row>
    <row r="266" spans="1:7" x14ac:dyDescent="0.3">
      <c r="A266" s="25"/>
      <c r="B266" s="27"/>
      <c r="C266" s="27"/>
      <c r="D266" s="27"/>
      <c r="E266" s="27"/>
      <c r="F266" s="38"/>
      <c r="G266" s="38"/>
    </row>
    <row r="267" spans="1:7" x14ac:dyDescent="0.3">
      <c r="A267" s="25"/>
      <c r="B267" s="27"/>
      <c r="C267" s="27"/>
      <c r="D267" s="27"/>
      <c r="E267" s="27"/>
      <c r="F267" s="38"/>
      <c r="G267" s="38"/>
    </row>
    <row r="268" spans="1:7" x14ac:dyDescent="0.3">
      <c r="A268" s="25"/>
      <c r="B268" s="27"/>
      <c r="C268" s="27"/>
      <c r="D268" s="27"/>
      <c r="E268" s="38"/>
      <c r="F268" s="38"/>
      <c r="G268" s="38"/>
    </row>
    <row r="269" spans="1:7" x14ac:dyDescent="0.3">
      <c r="A269" s="25"/>
      <c r="B269" s="27"/>
      <c r="C269" s="27"/>
      <c r="D269" s="27"/>
      <c r="E269" s="38"/>
      <c r="F269" s="38"/>
      <c r="G269" s="38"/>
    </row>
    <row r="270" spans="1:7" x14ac:dyDescent="0.3">
      <c r="A270" s="25"/>
      <c r="B270" s="27"/>
      <c r="C270" s="27"/>
      <c r="D270" s="27"/>
      <c r="E270" s="38"/>
      <c r="F270" s="38"/>
      <c r="G270" s="38"/>
    </row>
    <row r="271" spans="1:7" x14ac:dyDescent="0.3">
      <c r="A271" s="25"/>
      <c r="B271" s="27"/>
      <c r="C271" s="27"/>
      <c r="D271" s="27"/>
      <c r="E271" s="38"/>
      <c r="F271" s="38"/>
      <c r="G271" s="38"/>
    </row>
    <row r="272" spans="1:7" x14ac:dyDescent="0.3">
      <c r="A272" s="25"/>
      <c r="B272" s="27"/>
      <c r="C272" s="27"/>
      <c r="D272" s="27"/>
      <c r="E272" s="38"/>
      <c r="F272" s="38"/>
      <c r="G272" s="38"/>
    </row>
    <row r="273" spans="1:7" x14ac:dyDescent="0.3">
      <c r="A273" s="25"/>
      <c r="B273" s="27"/>
      <c r="C273" s="27"/>
      <c r="D273" s="27"/>
      <c r="E273" s="38"/>
      <c r="F273" s="38"/>
      <c r="G273" s="38"/>
    </row>
    <row r="274" spans="1:7" x14ac:dyDescent="0.3">
      <c r="A274" s="25"/>
      <c r="B274" s="27"/>
      <c r="C274" s="27"/>
      <c r="D274" s="27"/>
      <c r="E274" s="27"/>
      <c r="F274" s="38"/>
      <c r="G274" s="38"/>
    </row>
    <row r="275" spans="1:7" x14ac:dyDescent="0.3">
      <c r="A275" s="25"/>
      <c r="B275" s="27"/>
      <c r="C275" s="27"/>
      <c r="D275" s="27"/>
      <c r="E275" s="27"/>
      <c r="F275" s="38"/>
      <c r="G275" s="38"/>
    </row>
    <row r="276" spans="1:7" x14ac:dyDescent="0.3">
      <c r="A276" s="25"/>
      <c r="B276" s="27"/>
      <c r="C276" s="27"/>
      <c r="D276" s="27"/>
      <c r="E276" s="27"/>
      <c r="F276" s="38"/>
      <c r="G276" s="38"/>
    </row>
    <row r="277" spans="1:7" x14ac:dyDescent="0.3">
      <c r="A277" s="25"/>
      <c r="B277" s="25"/>
      <c r="C277" s="25"/>
      <c r="D277" s="25"/>
      <c r="E277" s="25"/>
      <c r="F277" s="40"/>
      <c r="G277" s="35"/>
    </row>
    <row r="278" spans="1:7" x14ac:dyDescent="0.3">
      <c r="A278" s="25"/>
      <c r="B278" s="25"/>
      <c r="C278" s="25"/>
      <c r="D278" s="25"/>
      <c r="E278" s="25"/>
      <c r="F278" s="35"/>
      <c r="G278" s="35"/>
    </row>
    <row r="279" spans="1:7" x14ac:dyDescent="0.3">
      <c r="A279" s="25"/>
      <c r="B279" s="25"/>
      <c r="C279" s="25"/>
      <c r="D279" s="25"/>
      <c r="E279" s="25"/>
      <c r="F279" s="35"/>
      <c r="G279" s="35"/>
    </row>
    <row r="280" spans="1:7" x14ac:dyDescent="0.3">
      <c r="A280" s="25"/>
      <c r="B280" s="25"/>
      <c r="C280" s="25"/>
      <c r="D280" s="25"/>
      <c r="E280" s="25"/>
      <c r="F280" s="35"/>
      <c r="G280" s="35"/>
    </row>
    <row r="281" spans="1:7" ht="21" x14ac:dyDescent="0.4">
      <c r="A281" s="25"/>
      <c r="B281" s="125"/>
      <c r="C281" s="125"/>
      <c r="D281" s="125"/>
      <c r="E281" s="125"/>
      <c r="F281" s="125"/>
      <c r="G281" s="126"/>
    </row>
    <row r="282" spans="1:7" x14ac:dyDescent="0.3">
      <c r="A282" s="25"/>
      <c r="B282" s="25"/>
      <c r="C282" s="25"/>
      <c r="D282" s="25"/>
      <c r="E282" s="25"/>
      <c r="F282" s="25"/>
      <c r="G282" s="38"/>
    </row>
    <row r="283" spans="1:7" ht="21" x14ac:dyDescent="0.4">
      <c r="A283" s="125"/>
      <c r="B283" s="25"/>
      <c r="C283" s="25"/>
      <c r="D283" s="25"/>
      <c r="E283" s="25"/>
      <c r="F283" s="25"/>
      <c r="G283" s="38"/>
    </row>
    <row r="284" spans="1:7" x14ac:dyDescent="0.3">
      <c r="A284" s="78"/>
      <c r="B284" s="25"/>
      <c r="C284" s="25"/>
      <c r="D284" s="25"/>
      <c r="E284" s="25"/>
      <c r="F284" s="25"/>
      <c r="G284" s="38"/>
    </row>
    <row r="285" spans="1:7" x14ac:dyDescent="0.3">
      <c r="A285" s="78"/>
      <c r="B285" s="25"/>
      <c r="C285" s="25"/>
      <c r="D285" s="25"/>
      <c r="E285" s="25"/>
      <c r="F285" s="25"/>
      <c r="G285" s="35"/>
    </row>
    <row r="286" spans="1:7" x14ac:dyDescent="0.3">
      <c r="A286" s="78"/>
      <c r="B286" s="25"/>
      <c r="C286" s="25"/>
      <c r="D286" s="25"/>
      <c r="E286" s="25"/>
      <c r="F286" s="25"/>
      <c r="G286" s="38"/>
    </row>
    <row r="287" spans="1:7" x14ac:dyDescent="0.3">
      <c r="A287" s="78"/>
      <c r="B287" s="25"/>
      <c r="C287" s="25"/>
      <c r="D287" s="25"/>
      <c r="E287" s="25"/>
      <c r="F287" s="25"/>
      <c r="G287" s="38"/>
    </row>
    <row r="288" spans="1:7" x14ac:dyDescent="0.3">
      <c r="A288" s="78"/>
      <c r="B288" s="25"/>
      <c r="C288" s="25"/>
      <c r="D288" s="25"/>
      <c r="E288" s="25"/>
      <c r="F288" s="25"/>
      <c r="G288" s="35"/>
    </row>
    <row r="289" spans="1:7" x14ac:dyDescent="0.3">
      <c r="A289" s="78"/>
      <c r="B289" s="25"/>
      <c r="C289" s="25"/>
      <c r="D289" s="25"/>
      <c r="E289" s="25"/>
      <c r="F289" s="25"/>
      <c r="G289" s="38"/>
    </row>
    <row r="290" spans="1:7" x14ac:dyDescent="0.3">
      <c r="A290" s="78"/>
      <c r="B290" s="25"/>
      <c r="C290" s="25"/>
      <c r="D290" s="25"/>
      <c r="E290" s="25"/>
      <c r="F290" s="25"/>
      <c r="G290" s="38"/>
    </row>
    <row r="291" spans="1:7" x14ac:dyDescent="0.3">
      <c r="A291" s="78"/>
      <c r="B291" s="25"/>
      <c r="C291" s="25"/>
      <c r="D291" s="25"/>
      <c r="E291" s="25"/>
      <c r="F291" s="25"/>
      <c r="G291" s="38"/>
    </row>
    <row r="292" spans="1:7" x14ac:dyDescent="0.3">
      <c r="A292" s="78"/>
      <c r="B292" s="25"/>
      <c r="C292" s="25"/>
      <c r="D292" s="25"/>
      <c r="E292" s="25"/>
      <c r="F292" s="25"/>
      <c r="G292" s="38"/>
    </row>
    <row r="293" spans="1:7" x14ac:dyDescent="0.3">
      <c r="A293" s="78"/>
      <c r="B293" s="25"/>
      <c r="C293" s="25"/>
      <c r="D293" s="25"/>
      <c r="E293" s="25"/>
      <c r="F293" s="25"/>
      <c r="G293" s="38"/>
    </row>
    <row r="294" spans="1:7" x14ac:dyDescent="0.3">
      <c r="A294" s="78"/>
      <c r="B294" s="25"/>
      <c r="C294" s="25"/>
      <c r="D294" s="25"/>
      <c r="E294" s="25"/>
      <c r="F294" s="25"/>
      <c r="G294" s="38"/>
    </row>
    <row r="295" spans="1:7" x14ac:dyDescent="0.3">
      <c r="A295" s="78"/>
      <c r="B295" s="25"/>
      <c r="C295" s="25"/>
      <c r="D295" s="25"/>
      <c r="E295" s="25"/>
      <c r="F295" s="25"/>
      <c r="G295" s="38"/>
    </row>
    <row r="296" spans="1:7" x14ac:dyDescent="0.3">
      <c r="A296" s="78"/>
      <c r="B296" s="25"/>
      <c r="C296" s="25"/>
      <c r="D296" s="25"/>
      <c r="E296" s="25"/>
      <c r="F296" s="25"/>
      <c r="G296" s="38"/>
    </row>
    <row r="297" spans="1:7" x14ac:dyDescent="0.3">
      <c r="A297" s="78"/>
      <c r="B297" s="25"/>
      <c r="C297" s="25"/>
      <c r="D297" s="25"/>
      <c r="E297" s="25"/>
      <c r="F297" s="25"/>
      <c r="G297" s="38"/>
    </row>
    <row r="298" spans="1:7" x14ac:dyDescent="0.3">
      <c r="A298" s="78"/>
      <c r="B298" s="25"/>
      <c r="C298" s="25"/>
      <c r="D298" s="25"/>
      <c r="E298" s="25"/>
      <c r="F298" s="25"/>
      <c r="G298" s="38"/>
    </row>
    <row r="299" spans="1:7" x14ac:dyDescent="0.3">
      <c r="A299" s="78"/>
      <c r="B299" s="25"/>
      <c r="C299" s="25"/>
      <c r="D299" s="25"/>
      <c r="E299" s="25"/>
      <c r="F299" s="25"/>
      <c r="G299" s="38"/>
    </row>
    <row r="300" spans="1:7" x14ac:dyDescent="0.3">
      <c r="A300" s="78"/>
      <c r="B300" s="25"/>
      <c r="C300" s="25"/>
      <c r="D300" s="25"/>
      <c r="E300" s="25"/>
      <c r="F300" s="25"/>
      <c r="G300" s="38"/>
    </row>
    <row r="301" spans="1:7" x14ac:dyDescent="0.3">
      <c r="A301" s="78"/>
      <c r="B301" s="25"/>
      <c r="C301" s="25"/>
      <c r="D301" s="25"/>
      <c r="E301" s="25"/>
      <c r="F301" s="25"/>
      <c r="G301" s="38"/>
    </row>
    <row r="302" spans="1:7" x14ac:dyDescent="0.3">
      <c r="A302" s="78"/>
      <c r="B302" s="25"/>
      <c r="C302" s="25"/>
      <c r="D302" s="25"/>
      <c r="E302" s="25"/>
      <c r="F302" s="25"/>
      <c r="G302" s="38"/>
    </row>
    <row r="303" spans="1:7" x14ac:dyDescent="0.3">
      <c r="A303" s="78"/>
      <c r="B303" s="25"/>
      <c r="C303" s="25"/>
      <c r="D303" s="25"/>
      <c r="E303" s="25"/>
      <c r="F303" s="25"/>
      <c r="G303" s="38"/>
    </row>
    <row r="304" spans="1:7" x14ac:dyDescent="0.3">
      <c r="A304" s="78"/>
      <c r="B304" s="25"/>
      <c r="C304" s="25"/>
      <c r="D304" s="25"/>
      <c r="E304" s="25"/>
      <c r="F304" s="25"/>
      <c r="G304" s="38"/>
    </row>
    <row r="305" spans="1:7" x14ac:dyDescent="0.3">
      <c r="A305" s="78"/>
      <c r="B305" s="25"/>
      <c r="C305" s="25"/>
      <c r="D305" s="25"/>
      <c r="E305" s="25"/>
      <c r="F305" s="25"/>
      <c r="G305" s="38"/>
    </row>
    <row r="306" spans="1:7" x14ac:dyDescent="0.3">
      <c r="A306" s="78"/>
      <c r="B306" s="25"/>
      <c r="C306" s="25"/>
      <c r="D306" s="25"/>
      <c r="E306" s="25"/>
      <c r="F306" s="25"/>
      <c r="G306" s="38"/>
    </row>
    <row r="307" spans="1:7" x14ac:dyDescent="0.3">
      <c r="A307" s="78"/>
      <c r="B307" s="25"/>
      <c r="C307" s="25"/>
      <c r="D307" s="25"/>
      <c r="E307" s="25"/>
      <c r="F307" s="25"/>
      <c r="G307" s="38"/>
    </row>
    <row r="308" spans="1:7" x14ac:dyDescent="0.3">
      <c r="A308" s="78"/>
      <c r="B308" s="25"/>
      <c r="C308" s="25"/>
      <c r="D308" s="25"/>
      <c r="E308" s="25"/>
      <c r="F308" s="25"/>
      <c r="G308" s="38"/>
    </row>
    <row r="309" spans="1:7" x14ac:dyDescent="0.3">
      <c r="A309" s="78"/>
      <c r="B309" s="25"/>
      <c r="C309" s="25"/>
      <c r="D309" s="25"/>
      <c r="E309" s="25"/>
      <c r="F309" s="25"/>
      <c r="G309" s="35"/>
    </row>
    <row r="310" spans="1:7" x14ac:dyDescent="0.3">
      <c r="A310" s="78"/>
      <c r="B310" s="25"/>
      <c r="C310" s="25"/>
      <c r="D310" s="25"/>
      <c r="E310" s="25"/>
      <c r="F310" s="25"/>
      <c r="G310" s="35"/>
    </row>
    <row r="311" spans="1:7" x14ac:dyDescent="0.3">
      <c r="A311" s="78"/>
      <c r="B311" s="25"/>
      <c r="C311" s="25"/>
      <c r="D311" s="25"/>
      <c r="E311" s="25"/>
      <c r="F311" s="25"/>
      <c r="G311" s="35"/>
    </row>
    <row r="312" spans="1:7" x14ac:dyDescent="0.3">
      <c r="A312" s="78"/>
      <c r="B312" s="25"/>
      <c r="C312" s="25"/>
      <c r="D312" s="25"/>
      <c r="E312" s="25"/>
      <c r="F312" s="25"/>
      <c r="G312" s="35"/>
    </row>
    <row r="313" spans="1:7" x14ac:dyDescent="0.3">
      <c r="A313" s="78"/>
      <c r="B313" s="25"/>
      <c r="C313" s="25"/>
      <c r="D313" s="25"/>
      <c r="E313" s="25"/>
      <c r="F313" s="25"/>
      <c r="G313" s="35"/>
    </row>
    <row r="314" spans="1:7" x14ac:dyDescent="0.3">
      <c r="A314" s="78"/>
      <c r="B314" s="25"/>
      <c r="C314" s="25"/>
      <c r="D314" s="25"/>
      <c r="E314" s="25"/>
      <c r="F314" s="25"/>
      <c r="G314" s="35"/>
    </row>
    <row r="315" spans="1:7" x14ac:dyDescent="0.3">
      <c r="A315" s="78"/>
      <c r="B315" s="25"/>
      <c r="C315" s="25"/>
      <c r="D315" s="25"/>
      <c r="E315" s="25"/>
      <c r="F315" s="25"/>
      <c r="G315" s="35"/>
    </row>
    <row r="316" spans="1:7" x14ac:dyDescent="0.3">
      <c r="A316" s="78"/>
      <c r="B316" s="25"/>
      <c r="C316" s="25"/>
      <c r="D316" s="25"/>
      <c r="E316" s="25"/>
      <c r="F316" s="25"/>
      <c r="G316" s="35"/>
    </row>
    <row r="317" spans="1:7" x14ac:dyDescent="0.3">
      <c r="A317" s="128"/>
      <c r="B317" s="25"/>
      <c r="C317" s="25"/>
      <c r="D317" s="25"/>
      <c r="E317" s="25"/>
      <c r="F317" s="25"/>
      <c r="G317" s="35"/>
    </row>
    <row r="318" spans="1:7" x14ac:dyDescent="0.3">
      <c r="A318" s="95"/>
      <c r="B318" s="25"/>
      <c r="C318" s="25"/>
      <c r="D318" s="25"/>
      <c r="E318" s="25"/>
      <c r="F318" s="25"/>
      <c r="G318" s="35"/>
    </row>
    <row r="319" spans="1:7" x14ac:dyDescent="0.3">
      <c r="A319" s="95"/>
      <c r="B319" s="25"/>
      <c r="C319" s="25"/>
      <c r="D319" s="25"/>
      <c r="E319" s="25"/>
      <c r="F319" s="25"/>
      <c r="G319" s="35"/>
    </row>
    <row r="320" spans="1:7" x14ac:dyDescent="0.3">
      <c r="A320" s="95"/>
      <c r="B320" s="25"/>
      <c r="C320" s="25"/>
      <c r="D320" s="25"/>
      <c r="E320" s="25"/>
      <c r="F320" s="25"/>
      <c r="G320" s="35"/>
    </row>
    <row r="321" spans="1:7" x14ac:dyDescent="0.3">
      <c r="A321" s="95"/>
      <c r="B321" s="25"/>
      <c r="C321" s="25"/>
      <c r="D321" s="25"/>
      <c r="E321" s="25"/>
      <c r="F321" s="25"/>
      <c r="G321" s="35"/>
    </row>
    <row r="322" spans="1:7" x14ac:dyDescent="0.3">
      <c r="A322" s="95"/>
      <c r="B322" s="25"/>
      <c r="C322" s="25"/>
      <c r="D322" s="25"/>
      <c r="E322" s="25"/>
      <c r="F322" s="25"/>
      <c r="G322" s="35"/>
    </row>
    <row r="323" spans="1:7" x14ac:dyDescent="0.3">
      <c r="A323" s="95"/>
      <c r="B323" s="25"/>
      <c r="C323" s="25"/>
      <c r="D323" s="25"/>
      <c r="E323" s="25"/>
      <c r="F323" s="25"/>
      <c r="G323" s="35"/>
    </row>
    <row r="324" spans="1:7" x14ac:dyDescent="0.3">
      <c r="A324" s="78"/>
      <c r="B324" s="25"/>
      <c r="C324" s="25"/>
      <c r="D324" s="25"/>
      <c r="E324" s="25"/>
      <c r="F324" s="25"/>
      <c r="G324" s="35"/>
    </row>
    <row r="325" spans="1:7" x14ac:dyDescent="0.3">
      <c r="A325" s="78"/>
      <c r="B325" s="25"/>
      <c r="C325" s="25"/>
      <c r="D325" s="25"/>
      <c r="E325" s="25"/>
      <c r="F325" s="25"/>
      <c r="G325" s="35"/>
    </row>
    <row r="326" spans="1:7" x14ac:dyDescent="0.3">
      <c r="A326" s="78"/>
      <c r="B326" s="25"/>
      <c r="C326" s="25"/>
      <c r="D326" s="25"/>
      <c r="E326" s="25"/>
      <c r="F326" s="25"/>
      <c r="G326" s="35"/>
    </row>
    <row r="327" spans="1:7" x14ac:dyDescent="0.3">
      <c r="A327" s="78"/>
      <c r="B327" s="25"/>
      <c r="C327" s="25"/>
      <c r="D327" s="25"/>
      <c r="E327" s="25"/>
      <c r="F327" s="25"/>
      <c r="G327" s="35"/>
    </row>
    <row r="328" spans="1:7" x14ac:dyDescent="0.3">
      <c r="A328" s="78"/>
      <c r="B328" s="25"/>
      <c r="C328" s="25"/>
      <c r="D328" s="25"/>
      <c r="E328" s="25"/>
      <c r="F328" s="25"/>
      <c r="G328" s="35"/>
    </row>
    <row r="329" spans="1:7" x14ac:dyDescent="0.3">
      <c r="A329" s="78"/>
      <c r="B329" s="25"/>
      <c r="C329" s="25"/>
      <c r="D329" s="25"/>
      <c r="E329" s="25"/>
      <c r="F329" s="25"/>
      <c r="G329" s="35"/>
    </row>
    <row r="330" spans="1:7" x14ac:dyDescent="0.3">
      <c r="A330" s="78"/>
      <c r="B330" s="25"/>
      <c r="C330" s="25"/>
      <c r="D330" s="25"/>
      <c r="E330" s="25"/>
      <c r="F330" s="25"/>
      <c r="G330" s="35"/>
    </row>
    <row r="331" spans="1:7" x14ac:dyDescent="0.3">
      <c r="A331" s="78"/>
      <c r="B331" s="25"/>
      <c r="C331" s="25"/>
      <c r="D331" s="25"/>
      <c r="E331" s="25"/>
      <c r="F331" s="25"/>
      <c r="G331" s="35"/>
    </row>
    <row r="332" spans="1:7" x14ac:dyDescent="0.3">
      <c r="A332" s="78"/>
      <c r="B332" s="25"/>
      <c r="C332" s="25"/>
      <c r="D332" s="25"/>
      <c r="E332" s="25"/>
      <c r="F332" s="25"/>
      <c r="G332" s="35"/>
    </row>
    <row r="333" spans="1:7" x14ac:dyDescent="0.3">
      <c r="A333" s="78"/>
      <c r="B333" s="25"/>
      <c r="C333" s="25"/>
      <c r="D333" s="25"/>
      <c r="E333" s="25"/>
      <c r="F333" s="25"/>
      <c r="G333" s="35"/>
    </row>
    <row r="334" spans="1:7" x14ac:dyDescent="0.3">
      <c r="A334" s="78"/>
      <c r="B334" s="25"/>
      <c r="C334" s="25"/>
      <c r="D334" s="25"/>
      <c r="E334" s="25"/>
      <c r="F334" s="25"/>
      <c r="G334" s="35"/>
    </row>
    <row r="335" spans="1:7" x14ac:dyDescent="0.3">
      <c r="A335" s="78"/>
      <c r="B335" s="25"/>
      <c r="C335" s="25"/>
      <c r="D335" s="25"/>
      <c r="E335" s="25"/>
      <c r="F335" s="25"/>
      <c r="G335" s="35"/>
    </row>
    <row r="336" spans="1:7" x14ac:dyDescent="0.3">
      <c r="A336" s="78"/>
      <c r="B336" s="25"/>
      <c r="C336" s="25"/>
      <c r="D336" s="25"/>
      <c r="E336" s="25"/>
      <c r="F336" s="25"/>
      <c r="G336" s="35"/>
    </row>
    <row r="337" spans="1:7" x14ac:dyDescent="0.3">
      <c r="A337" s="78"/>
      <c r="B337" s="25"/>
      <c r="C337" s="25"/>
      <c r="D337" s="25"/>
      <c r="E337" s="25"/>
      <c r="F337" s="25"/>
      <c r="G337" s="35"/>
    </row>
    <row r="338" spans="1:7" x14ac:dyDescent="0.3">
      <c r="A338" s="78"/>
      <c r="B338" s="25"/>
      <c r="C338" s="25"/>
      <c r="D338" s="25"/>
      <c r="E338" s="25"/>
      <c r="F338" s="25"/>
      <c r="G338" s="35"/>
    </row>
    <row r="339" spans="1:7" x14ac:dyDescent="0.3">
      <c r="A339" s="78"/>
      <c r="B339" s="25"/>
      <c r="C339" s="25"/>
      <c r="D339" s="25"/>
      <c r="E339" s="25"/>
      <c r="F339" s="25"/>
      <c r="G339" s="35"/>
    </row>
    <row r="340" spans="1:7" x14ac:dyDescent="0.3">
      <c r="A340" s="78"/>
      <c r="B340" s="25"/>
      <c r="C340" s="25"/>
      <c r="D340" s="25"/>
      <c r="E340" s="25"/>
      <c r="F340" s="25"/>
      <c r="G340" s="35"/>
    </row>
    <row r="341" spans="1:7" x14ac:dyDescent="0.3">
      <c r="A341" s="78"/>
      <c r="B341" s="25"/>
      <c r="C341" s="25"/>
      <c r="D341" s="25"/>
      <c r="E341" s="25"/>
      <c r="F341" s="25"/>
      <c r="G341" s="35"/>
    </row>
    <row r="342" spans="1:7" x14ac:dyDescent="0.3">
      <c r="A342" s="78"/>
      <c r="B342" s="25"/>
      <c r="C342" s="25"/>
      <c r="D342" s="25"/>
      <c r="E342" s="25"/>
      <c r="F342" s="25"/>
      <c r="G342" s="35"/>
    </row>
    <row r="343" spans="1:7" x14ac:dyDescent="0.3">
      <c r="A343" s="78"/>
      <c r="B343" s="25"/>
      <c r="C343" s="25"/>
      <c r="D343" s="25"/>
      <c r="E343" s="25"/>
      <c r="F343" s="25"/>
      <c r="G343" s="35"/>
    </row>
    <row r="344" spans="1:7" x14ac:dyDescent="0.3">
      <c r="A344" s="78"/>
      <c r="B344" s="25"/>
      <c r="C344" s="25"/>
      <c r="D344" s="25"/>
      <c r="E344" s="25"/>
      <c r="F344" s="25"/>
      <c r="G344" s="35"/>
    </row>
    <row r="345" spans="1:7" x14ac:dyDescent="0.3">
      <c r="A345" s="78"/>
      <c r="B345" s="25"/>
      <c r="C345" s="25"/>
      <c r="D345" s="25"/>
      <c r="E345" s="25"/>
      <c r="F345" s="25"/>
      <c r="G345" s="35"/>
    </row>
    <row r="346" spans="1:7" x14ac:dyDescent="0.3">
      <c r="A346" s="78"/>
      <c r="B346" s="25"/>
      <c r="C346" s="25"/>
      <c r="D346" s="25"/>
      <c r="E346" s="25"/>
      <c r="F346" s="25"/>
      <c r="G346" s="35"/>
    </row>
    <row r="347" spans="1:7" x14ac:dyDescent="0.3">
      <c r="A347" s="78"/>
      <c r="B347" s="25"/>
      <c r="C347" s="25"/>
      <c r="D347" s="25"/>
      <c r="E347" s="25"/>
      <c r="F347" s="25"/>
      <c r="G347" s="35"/>
    </row>
    <row r="348" spans="1:7" x14ac:dyDescent="0.3">
      <c r="A348" s="78"/>
      <c r="B348" s="25"/>
      <c r="C348" s="25"/>
      <c r="D348" s="25"/>
      <c r="E348" s="25"/>
      <c r="F348" s="25"/>
      <c r="G348" s="35"/>
    </row>
    <row r="349" spans="1:7" x14ac:dyDescent="0.3">
      <c r="A349" s="78"/>
      <c r="B349" s="25"/>
      <c r="C349" s="25"/>
      <c r="D349" s="25"/>
      <c r="E349" s="25"/>
      <c r="F349" s="25"/>
      <c r="G349" s="35"/>
    </row>
    <row r="350" spans="1:7" x14ac:dyDescent="0.3">
      <c r="A350" s="78"/>
      <c r="B350" s="25"/>
      <c r="C350" s="25"/>
      <c r="D350" s="25"/>
      <c r="E350" s="25"/>
      <c r="F350" s="25"/>
      <c r="G350" s="35"/>
    </row>
    <row r="351" spans="1:7" x14ac:dyDescent="0.3">
      <c r="A351" s="78"/>
      <c r="B351" s="25"/>
      <c r="C351" s="25"/>
      <c r="D351" s="25"/>
      <c r="E351" s="25"/>
      <c r="F351" s="25"/>
      <c r="G351" s="35"/>
    </row>
    <row r="352" spans="1:7" x14ac:dyDescent="0.3">
      <c r="A352" s="78"/>
      <c r="F352"/>
    </row>
    <row r="353" spans="1:7" x14ac:dyDescent="0.3">
      <c r="A353" s="25"/>
      <c r="F353"/>
      <c r="G353" s="32">
        <f>SUM(G282:G352)</f>
        <v>0</v>
      </c>
    </row>
    <row r="354" spans="1:7" x14ac:dyDescent="0.3">
      <c r="F354"/>
    </row>
  </sheetData>
  <sortState xmlns:xlrd2="http://schemas.microsoft.com/office/spreadsheetml/2017/richdata2" ref="A115:G158">
    <sortCondition descending="1" ref="F115:F158"/>
  </sortState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51"/>
  <sheetViews>
    <sheetView topLeftCell="A21" zoomScale="111" workbookViewId="0">
      <selection activeCell="F52" sqref="F52"/>
    </sheetView>
  </sheetViews>
  <sheetFormatPr defaultRowHeight="14.4" x14ac:dyDescent="0.3"/>
  <cols>
    <col min="1" max="1" width="18.33203125" customWidth="1"/>
    <col min="2" max="2" width="17.21875" customWidth="1"/>
    <col min="3" max="3" width="32.77734375" customWidth="1"/>
    <col min="4" max="4" width="22.5546875" customWidth="1"/>
    <col min="5" max="5" width="19.5546875" style="8" customWidth="1"/>
    <col min="6" max="6" width="18.6640625" style="8" customWidth="1"/>
    <col min="7" max="7" width="17.21875" customWidth="1"/>
    <col min="8" max="8" width="18.33203125" customWidth="1"/>
    <col min="9" max="10" width="14.77734375" customWidth="1"/>
    <col min="11" max="11" width="16.6640625" customWidth="1"/>
    <col min="12" max="12" width="25.88671875" customWidth="1"/>
    <col min="16" max="16" width="9.109375" style="8" customWidth="1"/>
  </cols>
  <sheetData>
    <row r="1" spans="1:12" ht="21" x14ac:dyDescent="0.4">
      <c r="C1" s="31"/>
    </row>
    <row r="2" spans="1:12" x14ac:dyDescent="0.3">
      <c r="B2" s="228">
        <v>46204</v>
      </c>
      <c r="K2" s="25"/>
      <c r="L2" s="25"/>
    </row>
    <row r="3" spans="1:12" s="3" customFormat="1" ht="21" x14ac:dyDescent="0.4">
      <c r="A3" s="4" t="s">
        <v>0</v>
      </c>
      <c r="B3" s="4" t="s">
        <v>2</v>
      </c>
      <c r="C3" s="4" t="s">
        <v>1</v>
      </c>
      <c r="D3" s="4" t="s">
        <v>3</v>
      </c>
      <c r="E3" s="6" t="s">
        <v>5</v>
      </c>
      <c r="F3" s="6" t="s">
        <v>6</v>
      </c>
      <c r="I3" s="113"/>
      <c r="J3" s="113"/>
      <c r="K3" s="113"/>
      <c r="L3" s="113"/>
    </row>
    <row r="4" spans="1:12" x14ac:dyDescent="0.3">
      <c r="A4" s="30">
        <v>46205</v>
      </c>
      <c r="B4" s="1"/>
      <c r="C4" s="1" t="s">
        <v>101</v>
      </c>
      <c r="D4" s="1" t="s">
        <v>59</v>
      </c>
      <c r="E4" s="7">
        <v>277030</v>
      </c>
      <c r="F4" s="7">
        <v>1816084</v>
      </c>
      <c r="I4" s="25"/>
      <c r="J4" s="106"/>
      <c r="K4" s="25"/>
      <c r="L4" s="25"/>
    </row>
    <row r="5" spans="1:12" x14ac:dyDescent="0.3">
      <c r="A5" s="30">
        <v>46204</v>
      </c>
      <c r="B5" s="1"/>
      <c r="C5" s="1" t="s">
        <v>15</v>
      </c>
      <c r="D5" s="1" t="s">
        <v>16</v>
      </c>
      <c r="E5" s="17">
        <v>16277</v>
      </c>
      <c r="F5" s="55">
        <v>106708</v>
      </c>
      <c r="I5" s="25"/>
      <c r="J5" s="106"/>
      <c r="K5" s="25"/>
      <c r="L5" s="25"/>
    </row>
    <row r="6" spans="1:12" x14ac:dyDescent="0.3">
      <c r="A6" s="53">
        <v>46205</v>
      </c>
      <c r="B6" s="54"/>
      <c r="C6" s="54" t="s">
        <v>15</v>
      </c>
      <c r="D6" s="54" t="s">
        <v>16</v>
      </c>
      <c r="E6" s="55">
        <v>4576</v>
      </c>
      <c r="F6" s="7">
        <v>30000</v>
      </c>
      <c r="I6" s="25"/>
      <c r="J6" s="106"/>
      <c r="K6" s="25"/>
      <c r="L6" s="25"/>
    </row>
    <row r="7" spans="1:12" x14ac:dyDescent="0.3">
      <c r="A7" s="30">
        <v>46206</v>
      </c>
      <c r="B7" s="1"/>
      <c r="C7" s="1" t="s">
        <v>244</v>
      </c>
      <c r="D7" s="22" t="s">
        <v>245</v>
      </c>
      <c r="E7" s="17">
        <v>15254</v>
      </c>
      <c r="F7" s="7">
        <v>100000</v>
      </c>
      <c r="I7" s="25"/>
      <c r="J7" s="106"/>
      <c r="K7" s="25"/>
      <c r="L7" s="25"/>
    </row>
    <row r="8" spans="1:12" x14ac:dyDescent="0.3">
      <c r="A8" s="53">
        <v>46206</v>
      </c>
      <c r="B8" s="54"/>
      <c r="C8" s="54" t="s">
        <v>15</v>
      </c>
      <c r="D8" s="54" t="s">
        <v>16</v>
      </c>
      <c r="E8" s="55">
        <v>16736</v>
      </c>
      <c r="F8" s="55">
        <v>109705</v>
      </c>
      <c r="I8" s="25"/>
      <c r="J8" s="106"/>
      <c r="K8" s="25"/>
      <c r="L8" s="25"/>
    </row>
    <row r="9" spans="1:12" x14ac:dyDescent="0.3">
      <c r="A9" s="53">
        <v>46209</v>
      </c>
      <c r="B9" s="54"/>
      <c r="C9" s="54" t="s">
        <v>15</v>
      </c>
      <c r="D9" s="54" t="s">
        <v>16</v>
      </c>
      <c r="E9" s="55">
        <v>14270</v>
      </c>
      <c r="F9" s="55">
        <v>93546</v>
      </c>
      <c r="I9" s="25"/>
      <c r="J9" s="106"/>
      <c r="K9" s="25"/>
      <c r="L9" s="25"/>
    </row>
    <row r="10" spans="1:12" x14ac:dyDescent="0.3">
      <c r="A10" s="53">
        <v>46210</v>
      </c>
      <c r="B10" s="54"/>
      <c r="C10" s="54" t="s">
        <v>15</v>
      </c>
      <c r="D10" s="54" t="s">
        <v>16</v>
      </c>
      <c r="E10" s="55">
        <v>15309</v>
      </c>
      <c r="F10" s="55">
        <v>100362</v>
      </c>
      <c r="I10" s="25"/>
      <c r="J10" s="106"/>
      <c r="K10" s="25"/>
      <c r="L10" s="25"/>
    </row>
    <row r="11" spans="1:12" x14ac:dyDescent="0.3">
      <c r="A11" s="53">
        <v>46214</v>
      </c>
      <c r="B11" s="138"/>
      <c r="C11" s="54" t="s">
        <v>246</v>
      </c>
      <c r="D11" s="54" t="s">
        <v>16</v>
      </c>
      <c r="E11" s="55">
        <v>6973</v>
      </c>
      <c r="F11" s="55">
        <v>45715</v>
      </c>
      <c r="I11" s="25"/>
      <c r="J11" s="106"/>
      <c r="K11" s="25"/>
      <c r="L11" s="25"/>
    </row>
    <row r="12" spans="1:12" x14ac:dyDescent="0.3">
      <c r="A12" s="53">
        <v>46213</v>
      </c>
      <c r="B12" s="54"/>
      <c r="C12" s="54" t="s">
        <v>15</v>
      </c>
      <c r="D12" s="54" t="s">
        <v>405</v>
      </c>
      <c r="E12" s="55">
        <v>15968</v>
      </c>
      <c r="F12" s="55">
        <v>104681</v>
      </c>
      <c r="I12" s="25"/>
      <c r="J12" s="106"/>
      <c r="K12" s="25"/>
      <c r="L12" s="25"/>
    </row>
    <row r="13" spans="1:12" x14ac:dyDescent="0.3">
      <c r="A13" s="53">
        <v>46210</v>
      </c>
      <c r="B13" s="54"/>
      <c r="C13" s="54" t="s">
        <v>247</v>
      </c>
      <c r="D13" s="54" t="s">
        <v>248</v>
      </c>
      <c r="E13" s="55">
        <v>28220</v>
      </c>
      <c r="F13" s="55">
        <v>185000</v>
      </c>
      <c r="I13" s="25"/>
      <c r="J13" s="106"/>
      <c r="K13" s="25"/>
      <c r="L13" s="25"/>
    </row>
    <row r="14" spans="1:12" x14ac:dyDescent="0.3">
      <c r="A14" s="53">
        <v>46216</v>
      </c>
      <c r="B14" s="54"/>
      <c r="C14" s="54" t="s">
        <v>250</v>
      </c>
      <c r="D14" s="54" t="s">
        <v>404</v>
      </c>
      <c r="E14" s="55">
        <v>7780</v>
      </c>
      <c r="F14" s="55">
        <v>51000</v>
      </c>
      <c r="G14" s="20"/>
      <c r="H14" s="106"/>
      <c r="I14" s="25"/>
      <c r="J14" s="106"/>
      <c r="K14" s="25"/>
      <c r="L14" s="25"/>
    </row>
    <row r="15" spans="1:12" x14ac:dyDescent="0.3">
      <c r="A15" s="53">
        <v>46216</v>
      </c>
      <c r="C15" s="54" t="s">
        <v>15</v>
      </c>
      <c r="D15" s="54" t="s">
        <v>16</v>
      </c>
      <c r="E15" s="55">
        <v>9618</v>
      </c>
      <c r="F15" s="55">
        <v>63049</v>
      </c>
      <c r="H15" s="106"/>
      <c r="I15" s="25"/>
      <c r="J15" s="106"/>
      <c r="K15" s="25"/>
      <c r="L15" s="25"/>
    </row>
    <row r="16" spans="1:12" x14ac:dyDescent="0.3">
      <c r="A16" s="53">
        <v>46213</v>
      </c>
      <c r="B16" s="54"/>
      <c r="C16" s="54" t="s">
        <v>15</v>
      </c>
      <c r="D16" s="162" t="s">
        <v>16</v>
      </c>
      <c r="E16" s="55">
        <v>19042</v>
      </c>
      <c r="F16" s="55">
        <v>124836</v>
      </c>
      <c r="H16" s="106"/>
      <c r="I16" s="25"/>
      <c r="J16" s="106"/>
      <c r="K16" s="25"/>
      <c r="L16" s="25"/>
    </row>
    <row r="17" spans="1:12" x14ac:dyDescent="0.3">
      <c r="A17" s="9">
        <v>46212</v>
      </c>
      <c r="C17" s="169" t="s">
        <v>231</v>
      </c>
      <c r="D17" s="168" t="s">
        <v>251</v>
      </c>
      <c r="E17" s="8">
        <v>64007</v>
      </c>
      <c r="F17" s="8">
        <v>419600</v>
      </c>
      <c r="H17" s="106"/>
      <c r="I17" s="25"/>
      <c r="J17" s="107"/>
      <c r="K17" s="25"/>
      <c r="L17" s="25"/>
    </row>
    <row r="18" spans="1:12" x14ac:dyDescent="0.3">
      <c r="A18" s="53">
        <v>46216</v>
      </c>
      <c r="B18" s="54"/>
      <c r="C18" s="54" t="s">
        <v>102</v>
      </c>
      <c r="D18" s="54" t="s">
        <v>30</v>
      </c>
      <c r="E18" s="55">
        <v>15254</v>
      </c>
      <c r="F18" s="55">
        <v>100000</v>
      </c>
      <c r="H18" s="106"/>
      <c r="I18" s="25"/>
      <c r="J18" s="108"/>
      <c r="K18" s="25"/>
      <c r="L18" s="25"/>
    </row>
    <row r="19" spans="1:12" x14ac:dyDescent="0.3">
      <c r="A19" s="53">
        <v>46212</v>
      </c>
      <c r="B19" s="54"/>
      <c r="C19" s="54" t="s">
        <v>102</v>
      </c>
      <c r="D19" s="54" t="s">
        <v>30</v>
      </c>
      <c r="E19" s="55">
        <v>3051</v>
      </c>
      <c r="F19" s="55">
        <v>20000</v>
      </c>
      <c r="H19" s="106"/>
      <c r="I19" s="25"/>
      <c r="J19" s="106"/>
      <c r="K19" s="25"/>
      <c r="L19" s="25"/>
    </row>
    <row r="20" spans="1:12" x14ac:dyDescent="0.3">
      <c r="A20" s="53">
        <v>46217</v>
      </c>
      <c r="B20" s="54"/>
      <c r="C20" s="54" t="s">
        <v>15</v>
      </c>
      <c r="D20" s="54" t="s">
        <v>16</v>
      </c>
      <c r="E20" s="55">
        <v>11876</v>
      </c>
      <c r="F20" s="55">
        <v>77857</v>
      </c>
      <c r="H20" s="106"/>
      <c r="I20" s="25"/>
      <c r="J20" s="106"/>
      <c r="K20" s="25"/>
      <c r="L20" s="25"/>
    </row>
    <row r="21" spans="1:12" x14ac:dyDescent="0.3">
      <c r="A21" s="53">
        <v>46218</v>
      </c>
      <c r="B21" s="54"/>
      <c r="C21" s="54" t="s">
        <v>10</v>
      </c>
      <c r="D21" s="54" t="s">
        <v>9</v>
      </c>
      <c r="E21" s="55">
        <v>915254</v>
      </c>
      <c r="F21" s="55">
        <v>6000000</v>
      </c>
      <c r="H21" s="222"/>
      <c r="I21" s="25"/>
      <c r="J21" s="106"/>
      <c r="K21" s="25"/>
      <c r="L21" s="25"/>
    </row>
    <row r="22" spans="1:12" x14ac:dyDescent="0.3">
      <c r="A22" s="53">
        <v>46218</v>
      </c>
      <c r="B22" s="54"/>
      <c r="C22" s="54" t="s">
        <v>10</v>
      </c>
      <c r="D22" s="54" t="s">
        <v>403</v>
      </c>
      <c r="E22" s="55">
        <v>18305</v>
      </c>
      <c r="F22" s="55">
        <v>120000</v>
      </c>
      <c r="H22" s="106"/>
      <c r="I22" s="25"/>
      <c r="J22" s="106"/>
      <c r="K22" s="25"/>
      <c r="L22" s="25"/>
    </row>
    <row r="23" spans="1:12" x14ac:dyDescent="0.3">
      <c r="A23" s="53">
        <v>46219</v>
      </c>
      <c r="B23" s="54"/>
      <c r="C23" s="54" t="s">
        <v>15</v>
      </c>
      <c r="D23" s="54" t="s">
        <v>16</v>
      </c>
      <c r="E23" s="55">
        <v>3473</v>
      </c>
      <c r="F23" s="55">
        <v>22770</v>
      </c>
      <c r="H23" s="109"/>
      <c r="I23" s="25"/>
      <c r="J23" s="106"/>
      <c r="K23" s="25"/>
      <c r="L23" s="25"/>
    </row>
    <row r="24" spans="1:12" x14ac:dyDescent="0.3">
      <c r="A24" s="53">
        <v>46219</v>
      </c>
      <c r="B24" s="54"/>
      <c r="C24" s="54" t="s">
        <v>15</v>
      </c>
      <c r="D24" s="54" t="s">
        <v>16</v>
      </c>
      <c r="E24" s="55">
        <v>5221</v>
      </c>
      <c r="F24" s="55">
        <v>34228</v>
      </c>
      <c r="H24" s="108"/>
      <c r="I24" s="25"/>
      <c r="J24" s="106"/>
      <c r="K24" s="25"/>
      <c r="L24" s="25"/>
    </row>
    <row r="25" spans="1:12" x14ac:dyDescent="0.3">
      <c r="A25" s="53">
        <v>46217</v>
      </c>
      <c r="B25" s="54"/>
      <c r="C25" s="54" t="s">
        <v>15</v>
      </c>
      <c r="D25" s="54" t="s">
        <v>406</v>
      </c>
      <c r="E25" s="55">
        <v>2012</v>
      </c>
      <c r="F25" s="55">
        <v>13192</v>
      </c>
      <c r="I25" s="25"/>
      <c r="J25" s="106"/>
      <c r="K25" s="25"/>
      <c r="L25" s="25"/>
    </row>
    <row r="26" spans="1:12" x14ac:dyDescent="0.3">
      <c r="A26" s="53">
        <v>46217</v>
      </c>
      <c r="B26" s="54"/>
      <c r="C26" s="54" t="s">
        <v>409</v>
      </c>
      <c r="D26" s="54" t="s">
        <v>408</v>
      </c>
      <c r="E26" s="55">
        <v>3050</v>
      </c>
      <c r="F26" s="55">
        <v>20000</v>
      </c>
      <c r="I26" s="25"/>
      <c r="J26" s="106"/>
      <c r="K26" s="25"/>
      <c r="L26" s="25"/>
    </row>
    <row r="27" spans="1:12" x14ac:dyDescent="0.3">
      <c r="A27" s="5"/>
      <c r="B27" s="1"/>
      <c r="C27" s="1"/>
      <c r="D27" s="1"/>
      <c r="E27" s="7"/>
      <c r="F27" s="7"/>
      <c r="I27" s="25"/>
      <c r="J27" s="106"/>
      <c r="K27" s="25"/>
      <c r="L27" s="25"/>
    </row>
    <row r="28" spans="1:12" x14ac:dyDescent="0.3">
      <c r="A28" s="53"/>
      <c r="B28" s="54"/>
      <c r="C28" s="54"/>
      <c r="D28" s="54"/>
      <c r="E28" s="55"/>
      <c r="F28" s="7"/>
      <c r="I28" s="25"/>
      <c r="J28" s="106"/>
      <c r="K28" s="25"/>
      <c r="L28" s="25"/>
    </row>
    <row r="29" spans="1:12" x14ac:dyDescent="0.3">
      <c r="A29" s="53"/>
      <c r="B29" s="54"/>
      <c r="C29" s="54"/>
      <c r="D29" s="54"/>
      <c r="E29" s="55"/>
      <c r="F29" s="7"/>
      <c r="I29" s="25"/>
      <c r="J29" s="106"/>
      <c r="K29" s="25"/>
      <c r="L29" s="25"/>
    </row>
    <row r="30" spans="1:12" x14ac:dyDescent="0.3">
      <c r="A30" s="53"/>
      <c r="B30" s="54"/>
      <c r="C30" s="54"/>
      <c r="D30" s="54"/>
      <c r="E30" s="55"/>
      <c r="F30" s="7"/>
      <c r="I30" s="25"/>
      <c r="J30" s="106"/>
      <c r="K30" s="25"/>
      <c r="L30" s="25"/>
    </row>
    <row r="31" spans="1:12" x14ac:dyDescent="0.3">
      <c r="A31" s="53"/>
      <c r="B31" s="54"/>
      <c r="C31" s="54"/>
      <c r="D31" s="54"/>
      <c r="E31" s="55"/>
      <c r="F31" s="7"/>
      <c r="I31" s="25"/>
      <c r="J31" s="106"/>
      <c r="K31" s="25"/>
      <c r="L31" s="25"/>
    </row>
    <row r="32" spans="1:12" x14ac:dyDescent="0.3">
      <c r="A32" s="53">
        <v>46206</v>
      </c>
      <c r="B32" s="54"/>
      <c r="C32" s="54" t="s">
        <v>249</v>
      </c>
      <c r="D32" s="54" t="s">
        <v>190</v>
      </c>
      <c r="E32" s="55"/>
      <c r="F32" s="7">
        <v>116000</v>
      </c>
      <c r="I32" s="25"/>
      <c r="J32" s="106"/>
      <c r="K32" s="25"/>
      <c r="L32" s="25"/>
    </row>
    <row r="33" spans="1:12" x14ac:dyDescent="0.3">
      <c r="A33" s="53">
        <v>46210</v>
      </c>
      <c r="B33" s="54"/>
      <c r="C33" s="54" t="s">
        <v>249</v>
      </c>
      <c r="D33" s="54" t="s">
        <v>190</v>
      </c>
      <c r="E33" s="55"/>
      <c r="F33" s="55">
        <v>78500</v>
      </c>
      <c r="I33" s="25"/>
      <c r="J33" s="106"/>
      <c r="K33" s="25"/>
      <c r="L33" s="25"/>
    </row>
    <row r="34" spans="1:12" x14ac:dyDescent="0.3">
      <c r="A34" s="53">
        <v>46207</v>
      </c>
      <c r="B34" s="54"/>
      <c r="C34" s="54" t="s">
        <v>60</v>
      </c>
      <c r="D34" s="54" t="s">
        <v>150</v>
      </c>
      <c r="E34" s="55"/>
      <c r="F34" s="55">
        <v>748410</v>
      </c>
      <c r="I34" s="25"/>
      <c r="J34" s="106"/>
      <c r="K34" s="25"/>
      <c r="L34" s="25"/>
    </row>
    <row r="35" spans="1:12" x14ac:dyDescent="0.3">
      <c r="A35" s="53">
        <v>46216</v>
      </c>
      <c r="B35" s="54"/>
      <c r="C35" s="54" t="s">
        <v>60</v>
      </c>
      <c r="D35" s="54" t="s">
        <v>150</v>
      </c>
      <c r="E35" s="55"/>
      <c r="F35" s="55">
        <v>571155</v>
      </c>
      <c r="I35" s="25"/>
      <c r="J35" s="106"/>
      <c r="K35" s="25"/>
      <c r="L35" s="25"/>
    </row>
    <row r="36" spans="1:12" x14ac:dyDescent="0.3">
      <c r="A36" s="53">
        <v>46213</v>
      </c>
      <c r="B36" s="54"/>
      <c r="C36" s="54" t="s">
        <v>249</v>
      </c>
      <c r="D36" s="54" t="s">
        <v>190</v>
      </c>
      <c r="E36" s="55"/>
      <c r="F36" s="55">
        <v>116000</v>
      </c>
      <c r="I36" s="25"/>
      <c r="J36" s="106"/>
      <c r="K36" s="25"/>
      <c r="L36" s="25"/>
    </row>
    <row r="37" spans="1:12" x14ac:dyDescent="0.3">
      <c r="A37" s="53">
        <v>46217</v>
      </c>
      <c r="B37" s="54"/>
      <c r="C37" s="54" t="s">
        <v>249</v>
      </c>
      <c r="D37" s="54" t="s">
        <v>407</v>
      </c>
      <c r="E37" s="55"/>
      <c r="F37" s="7">
        <v>37500</v>
      </c>
      <c r="I37" s="25"/>
      <c r="J37" s="106"/>
      <c r="K37" s="25"/>
      <c r="L37" s="25"/>
    </row>
    <row r="38" spans="1:12" x14ac:dyDescent="0.3">
      <c r="A38" s="53"/>
      <c r="B38" s="54"/>
      <c r="C38" s="54"/>
      <c r="D38" s="54"/>
      <c r="E38" s="55"/>
      <c r="F38" s="7"/>
      <c r="I38" s="25"/>
      <c r="J38" s="106"/>
      <c r="K38" s="25"/>
      <c r="L38" s="25"/>
    </row>
    <row r="39" spans="1:12" x14ac:dyDescent="0.3">
      <c r="A39" s="9"/>
      <c r="C39" s="169"/>
      <c r="D39" s="169"/>
      <c r="I39" s="25"/>
      <c r="J39" s="106"/>
      <c r="K39" s="25"/>
      <c r="L39" s="25"/>
    </row>
    <row r="40" spans="1:12" x14ac:dyDescent="0.3">
      <c r="A40" s="36"/>
      <c r="B40" s="37"/>
      <c r="C40" s="37"/>
      <c r="D40" s="37"/>
      <c r="E40" s="19"/>
      <c r="F40" s="19"/>
      <c r="I40" s="25"/>
      <c r="J40" s="106"/>
      <c r="K40" s="25"/>
      <c r="L40" s="25"/>
    </row>
    <row r="41" spans="1:12" x14ac:dyDescent="0.3">
      <c r="I41" s="25"/>
      <c r="J41" s="106"/>
      <c r="K41" s="25"/>
      <c r="L41" s="25"/>
    </row>
    <row r="42" spans="1:12" x14ac:dyDescent="0.3">
      <c r="I42" s="25"/>
      <c r="J42" s="106"/>
      <c r="K42" s="25"/>
      <c r="L42" s="25"/>
    </row>
    <row r="43" spans="1:12" x14ac:dyDescent="0.3">
      <c r="I43" s="25"/>
      <c r="J43" s="106"/>
      <c r="K43" s="25"/>
      <c r="L43" s="25"/>
    </row>
    <row r="44" spans="1:12" x14ac:dyDescent="0.3">
      <c r="I44" s="25"/>
      <c r="J44" s="106"/>
      <c r="K44" s="25"/>
      <c r="L44" s="25"/>
    </row>
    <row r="45" spans="1:12" x14ac:dyDescent="0.3">
      <c r="I45" s="25"/>
      <c r="J45" s="106"/>
      <c r="K45" s="25"/>
      <c r="L45" s="25"/>
    </row>
    <row r="46" spans="1:12" x14ac:dyDescent="0.3">
      <c r="A46" s="116"/>
      <c r="B46" s="118"/>
      <c r="C46" s="118"/>
      <c r="D46" s="118"/>
      <c r="E46" s="8">
        <f>SUM(E4:E40)</f>
        <v>1488556</v>
      </c>
      <c r="F46" s="17"/>
      <c r="I46" s="25"/>
      <c r="J46" s="106"/>
      <c r="K46" s="25"/>
      <c r="L46" s="25"/>
    </row>
    <row r="47" spans="1:12" ht="15.6" x14ac:dyDescent="0.3">
      <c r="A47" s="30"/>
      <c r="B47" s="120" t="s">
        <v>18</v>
      </c>
      <c r="C47" s="120"/>
      <c r="D47" s="121">
        <v>10198500</v>
      </c>
      <c r="E47" s="103">
        <f>D47*18/118</f>
        <v>1555703.3898305085</v>
      </c>
      <c r="F47" s="103"/>
      <c r="I47" s="25"/>
      <c r="J47" s="106"/>
      <c r="K47" s="25"/>
      <c r="L47" s="25"/>
    </row>
    <row r="48" spans="1:12" ht="15.6" x14ac:dyDescent="0.3">
      <c r="A48" s="30"/>
      <c r="B48" s="120" t="s">
        <v>19</v>
      </c>
      <c r="C48" s="120"/>
      <c r="D48" s="121">
        <v>572000</v>
      </c>
      <c r="E48" s="103">
        <f t="shared" ref="E48:E49" si="0">D48*18/118</f>
        <v>87254.237288135599</v>
      </c>
      <c r="F48" s="103"/>
      <c r="I48" s="25"/>
      <c r="J48" s="106"/>
      <c r="K48" s="25"/>
      <c r="L48" s="25"/>
    </row>
    <row r="49" spans="1:16" ht="15.6" x14ac:dyDescent="0.3">
      <c r="A49" s="30"/>
      <c r="B49" s="120"/>
      <c r="C49" s="121">
        <f>D47+D48</f>
        <v>10770500</v>
      </c>
      <c r="D49" s="120"/>
      <c r="E49" s="103">
        <f t="shared" si="0"/>
        <v>0</v>
      </c>
      <c r="F49" s="103"/>
      <c r="I49" s="25"/>
      <c r="J49" s="106"/>
      <c r="K49" s="25"/>
      <c r="L49" s="25"/>
    </row>
    <row r="50" spans="1:16" x14ac:dyDescent="0.3">
      <c r="A50" s="117"/>
      <c r="B50" s="119" t="s">
        <v>20</v>
      </c>
      <c r="C50" s="119"/>
      <c r="D50" s="119"/>
      <c r="E50" s="104" t="s">
        <v>40</v>
      </c>
      <c r="F50" s="104" t="s">
        <v>21</v>
      </c>
      <c r="I50" s="25"/>
      <c r="J50" s="106"/>
      <c r="K50" s="25"/>
      <c r="L50" s="25"/>
    </row>
    <row r="51" spans="1:16" x14ac:dyDescent="0.3">
      <c r="A51" s="53"/>
      <c r="B51" s="102"/>
      <c r="C51" s="101"/>
      <c r="D51" s="102"/>
      <c r="E51" s="103"/>
      <c r="F51" s="103"/>
      <c r="I51" s="25"/>
      <c r="J51" s="106"/>
      <c r="K51" s="25"/>
      <c r="L51" s="25"/>
    </row>
    <row r="52" spans="1:16" x14ac:dyDescent="0.3">
      <c r="A52" s="30"/>
      <c r="B52" s="102" t="s">
        <v>22</v>
      </c>
      <c r="C52" s="102"/>
      <c r="D52" s="102">
        <v>1555703</v>
      </c>
      <c r="E52" s="103"/>
      <c r="F52" s="103"/>
      <c r="I52" s="25"/>
      <c r="J52" s="106"/>
      <c r="K52" s="25"/>
      <c r="L52" s="25"/>
    </row>
    <row r="53" spans="1:16" x14ac:dyDescent="0.3">
      <c r="A53" s="30"/>
      <c r="B53" s="102" t="s">
        <v>23</v>
      </c>
      <c r="C53" s="102"/>
      <c r="D53" s="102">
        <v>87254</v>
      </c>
      <c r="E53" s="103"/>
      <c r="F53" s="103"/>
      <c r="I53" s="25"/>
      <c r="J53" s="106"/>
      <c r="K53" s="25"/>
      <c r="L53" s="25"/>
    </row>
    <row r="54" spans="1:16" x14ac:dyDescent="0.3">
      <c r="A54" s="30"/>
      <c r="B54" s="102"/>
      <c r="C54" s="102"/>
      <c r="D54" s="102"/>
      <c r="E54" s="103"/>
      <c r="F54" s="103"/>
      <c r="I54" s="25"/>
      <c r="J54" s="106"/>
      <c r="K54" s="25"/>
      <c r="L54" s="25"/>
    </row>
    <row r="55" spans="1:16" x14ac:dyDescent="0.3">
      <c r="A55" s="30"/>
      <c r="B55" s="102" t="s">
        <v>24</v>
      </c>
      <c r="C55" s="102"/>
      <c r="D55" s="102">
        <f>SUM(D52:D54)</f>
        <v>1642957</v>
      </c>
      <c r="E55" s="103">
        <f>E46</f>
        <v>1488556</v>
      </c>
      <c r="F55" s="123">
        <f>D55-E55</f>
        <v>154401</v>
      </c>
      <c r="G55" s="20"/>
      <c r="H55" t="s">
        <v>253</v>
      </c>
      <c r="I55" s="25"/>
      <c r="J55" s="106"/>
      <c r="K55" s="25"/>
      <c r="L55" s="25"/>
    </row>
    <row r="56" spans="1:16" x14ac:dyDescent="0.3">
      <c r="A56" s="30"/>
      <c r="B56" s="102"/>
      <c r="C56" s="102"/>
      <c r="D56" s="102"/>
      <c r="E56" s="103"/>
      <c r="F56" s="147" t="s">
        <v>134</v>
      </c>
      <c r="G56" s="23"/>
      <c r="H56" t="s">
        <v>252</v>
      </c>
      <c r="I56" s="25"/>
      <c r="J56" s="106"/>
      <c r="K56" s="25"/>
      <c r="L56" s="25"/>
    </row>
    <row r="57" spans="1:16" x14ac:dyDescent="0.3">
      <c r="A57" s="116"/>
      <c r="B57" s="129" t="s">
        <v>25</v>
      </c>
      <c r="C57" s="129"/>
      <c r="D57" s="223">
        <f>F55*118/18</f>
        <v>1012184.3333333334</v>
      </c>
      <c r="E57" s="130" t="s">
        <v>29</v>
      </c>
      <c r="F57" s="130"/>
      <c r="I57" s="25"/>
      <c r="J57" s="106"/>
      <c r="K57" s="25"/>
      <c r="L57" s="25"/>
    </row>
    <row r="58" spans="1:16" x14ac:dyDescent="0.3">
      <c r="A58" s="134"/>
      <c r="B58" s="135"/>
      <c r="C58" s="135"/>
      <c r="D58" s="135"/>
      <c r="E58" s="136"/>
      <c r="F58" s="136"/>
      <c r="I58" s="25"/>
      <c r="J58" s="106"/>
      <c r="K58" s="25"/>
      <c r="L58" s="25"/>
    </row>
    <row r="59" spans="1:16" x14ac:dyDescent="0.3">
      <c r="A59" s="131"/>
      <c r="B59" s="132"/>
      <c r="C59" s="132"/>
      <c r="D59" s="132"/>
      <c r="E59" s="133"/>
      <c r="F59" s="133"/>
      <c r="I59" s="25"/>
      <c r="J59" s="106"/>
      <c r="K59" s="25"/>
      <c r="L59" s="25"/>
    </row>
    <row r="60" spans="1:16" x14ac:dyDescent="0.3">
      <c r="A60" s="131"/>
      <c r="B60" s="132"/>
      <c r="C60" s="132"/>
      <c r="D60" s="132"/>
      <c r="E60" s="133"/>
      <c r="F60" s="133"/>
      <c r="I60" s="25"/>
      <c r="J60" s="106"/>
      <c r="K60" s="25"/>
      <c r="L60" s="25"/>
    </row>
    <row r="61" spans="1:16" x14ac:dyDescent="0.3">
      <c r="A61" s="95"/>
      <c r="B61" s="109"/>
      <c r="C61" s="151" t="s">
        <v>187</v>
      </c>
      <c r="D61" s="25"/>
      <c r="E61" s="38"/>
      <c r="F61" s="35"/>
      <c r="G61" s="25"/>
      <c r="H61" s="25"/>
      <c r="I61" s="25"/>
      <c r="J61" s="106"/>
      <c r="K61" s="25"/>
      <c r="L61" s="25"/>
    </row>
    <row r="62" spans="1:16" ht="21" x14ac:dyDescent="0.4">
      <c r="A62" s="4" t="s">
        <v>0</v>
      </c>
      <c r="B62" s="4" t="s">
        <v>2</v>
      </c>
      <c r="C62" s="4" t="s">
        <v>1</v>
      </c>
      <c r="D62" s="4" t="s">
        <v>3</v>
      </c>
      <c r="E62" s="6" t="s">
        <v>5</v>
      </c>
      <c r="F62" s="6" t="s">
        <v>6</v>
      </c>
      <c r="G62" s="25"/>
      <c r="H62" s="25"/>
      <c r="I62" s="25"/>
      <c r="J62" s="106"/>
      <c r="K62" s="25"/>
      <c r="L62" s="25"/>
    </row>
    <row r="63" spans="1:16" ht="15.6" x14ac:dyDescent="0.3">
      <c r="A63" s="53"/>
      <c r="B63" s="53"/>
      <c r="C63" s="54"/>
      <c r="D63" s="162"/>
      <c r="E63" s="55"/>
      <c r="F63" s="55"/>
      <c r="G63" s="25"/>
      <c r="H63" s="25"/>
      <c r="I63" s="25"/>
      <c r="J63" s="106"/>
      <c r="K63" s="25"/>
      <c r="L63" s="25"/>
      <c r="N63" s="114"/>
      <c r="O63" s="114"/>
      <c r="P63" s="115"/>
    </row>
    <row r="64" spans="1:16" ht="15.6" x14ac:dyDescent="0.3">
      <c r="A64" s="53"/>
      <c r="B64" s="53"/>
      <c r="C64" s="54"/>
      <c r="D64" s="162"/>
      <c r="E64" s="55"/>
      <c r="F64" s="55"/>
      <c r="G64" s="25"/>
      <c r="H64" s="25"/>
      <c r="I64" s="25"/>
      <c r="J64" s="109"/>
      <c r="K64" s="25"/>
      <c r="L64" s="25"/>
      <c r="N64" s="114"/>
      <c r="O64" s="114"/>
      <c r="P64" s="115"/>
    </row>
    <row r="65" spans="1:16" ht="15.6" x14ac:dyDescent="0.3">
      <c r="A65" s="53"/>
      <c r="B65" s="53"/>
      <c r="C65" s="54"/>
      <c r="D65" s="54"/>
      <c r="E65" s="55"/>
      <c r="F65" s="55"/>
      <c r="G65" s="25"/>
      <c r="H65" s="25"/>
      <c r="I65" s="25"/>
      <c r="J65" s="109"/>
      <c r="K65" s="25"/>
      <c r="L65" s="25"/>
      <c r="N65" s="114"/>
      <c r="O65" s="114"/>
      <c r="P65" s="115"/>
    </row>
    <row r="66" spans="1:16" ht="15.6" x14ac:dyDescent="0.3">
      <c r="A66" s="53"/>
      <c r="B66" s="53"/>
      <c r="C66" s="54"/>
      <c r="D66" s="54"/>
      <c r="E66" s="55"/>
      <c r="F66" s="55"/>
      <c r="G66" s="25"/>
      <c r="H66" s="25"/>
      <c r="I66" s="25"/>
      <c r="J66" s="110"/>
      <c r="K66" s="25"/>
      <c r="L66" s="25"/>
      <c r="N66" s="114"/>
      <c r="O66" s="114"/>
      <c r="P66" s="115"/>
    </row>
    <row r="67" spans="1:16" ht="15.6" x14ac:dyDescent="0.3">
      <c r="A67" s="53"/>
      <c r="B67" s="53"/>
      <c r="C67" s="54"/>
      <c r="D67" s="54"/>
      <c r="E67" s="55"/>
      <c r="F67" s="55"/>
      <c r="G67" s="178"/>
      <c r="H67" s="25"/>
      <c r="I67" s="25"/>
      <c r="J67" s="110"/>
      <c r="K67" s="25"/>
      <c r="L67" s="25"/>
      <c r="N67" s="114"/>
      <c r="O67" s="114"/>
      <c r="P67" s="115"/>
    </row>
    <row r="68" spans="1:16" ht="15.6" x14ac:dyDescent="0.3">
      <c r="A68" s="53"/>
      <c r="B68" s="53"/>
      <c r="C68" s="54"/>
      <c r="D68" s="54"/>
      <c r="E68" s="55"/>
      <c r="F68" s="55"/>
      <c r="G68" s="178"/>
      <c r="H68" s="177">
        <f>E67-E68</f>
        <v>0</v>
      </c>
      <c r="I68" s="25"/>
      <c r="J68" s="110"/>
      <c r="K68" s="25"/>
      <c r="L68" s="25"/>
      <c r="N68" s="114"/>
      <c r="O68" s="114"/>
      <c r="P68" s="115"/>
    </row>
    <row r="69" spans="1:16" ht="15.6" x14ac:dyDescent="0.3">
      <c r="A69" s="53"/>
      <c r="B69" s="53"/>
      <c r="C69" s="54"/>
      <c r="D69" s="54"/>
      <c r="E69" s="55"/>
      <c r="F69" s="55"/>
      <c r="G69" s="25"/>
      <c r="H69" s="25"/>
      <c r="I69" s="25"/>
      <c r="J69" s="106"/>
      <c r="K69" s="25"/>
      <c r="L69" s="25"/>
      <c r="N69" s="114"/>
      <c r="O69" s="114"/>
      <c r="P69" s="115"/>
    </row>
    <row r="70" spans="1:16" ht="15.6" x14ac:dyDescent="0.3">
      <c r="A70" s="53"/>
      <c r="B70" s="53"/>
      <c r="C70" s="54"/>
      <c r="D70" s="162"/>
      <c r="E70" s="55"/>
      <c r="F70" s="55"/>
      <c r="G70" s="109"/>
      <c r="H70" s="109"/>
      <c r="I70" s="25"/>
      <c r="J70" s="111"/>
      <c r="K70" s="25"/>
      <c r="L70" s="25"/>
      <c r="N70" s="114"/>
      <c r="O70" s="114"/>
      <c r="P70" s="115"/>
    </row>
    <row r="71" spans="1:16" ht="15.6" x14ac:dyDescent="0.3">
      <c r="A71" s="53"/>
      <c r="B71" s="53"/>
      <c r="C71" s="54"/>
      <c r="D71" s="162"/>
      <c r="E71" s="55"/>
      <c r="F71" s="55"/>
      <c r="G71" s="109"/>
      <c r="H71" s="109"/>
      <c r="I71" s="25"/>
      <c r="J71" s="106"/>
      <c r="K71" s="25"/>
      <c r="L71" s="25"/>
      <c r="N71" s="114"/>
      <c r="O71" s="114"/>
      <c r="P71" s="115"/>
    </row>
    <row r="72" spans="1:16" ht="15.6" x14ac:dyDescent="0.3">
      <c r="A72" s="53"/>
      <c r="B72" s="53"/>
      <c r="C72" s="54"/>
      <c r="D72" s="54"/>
      <c r="E72" s="55"/>
      <c r="F72" s="55"/>
      <c r="G72" s="109"/>
      <c r="H72" s="109"/>
      <c r="I72" s="25"/>
      <c r="J72" s="112"/>
      <c r="K72" s="25"/>
      <c r="L72" s="25"/>
      <c r="N72" s="114"/>
      <c r="O72" s="114"/>
      <c r="P72" s="115"/>
    </row>
    <row r="73" spans="1:16" ht="15.6" x14ac:dyDescent="0.3">
      <c r="A73" s="53"/>
      <c r="B73" s="53"/>
      <c r="C73" s="54"/>
      <c r="D73" s="54"/>
      <c r="E73" s="55"/>
      <c r="F73" s="55"/>
      <c r="G73" s="109"/>
      <c r="H73" s="108"/>
      <c r="I73" s="25"/>
      <c r="J73" s="108"/>
      <c r="K73" s="25"/>
      <c r="L73" s="25"/>
      <c r="N73" s="114"/>
      <c r="O73" s="114"/>
      <c r="P73" s="115"/>
    </row>
    <row r="74" spans="1:16" ht="15.6" x14ac:dyDescent="0.3">
      <c r="A74" s="53"/>
      <c r="B74" s="53"/>
      <c r="C74" s="54"/>
      <c r="D74" s="54"/>
      <c r="E74" s="55"/>
      <c r="F74" s="55"/>
      <c r="G74" s="174"/>
      <c r="H74" s="109"/>
      <c r="I74" s="25"/>
      <c r="J74" s="105"/>
      <c r="K74" s="25"/>
      <c r="L74" s="25"/>
      <c r="N74" s="114"/>
      <c r="O74" s="114"/>
      <c r="P74" s="115"/>
    </row>
    <row r="75" spans="1:16" ht="15.6" x14ac:dyDescent="0.3">
      <c r="A75" s="53"/>
      <c r="B75" s="53"/>
      <c r="C75" s="54"/>
      <c r="D75" s="54"/>
      <c r="E75" s="55"/>
      <c r="F75" s="55"/>
      <c r="G75" s="109"/>
      <c r="H75" s="109"/>
      <c r="I75" s="25"/>
      <c r="J75" s="105"/>
      <c r="K75" s="25"/>
      <c r="L75" s="25"/>
      <c r="N75" s="114"/>
      <c r="O75" s="114"/>
      <c r="P75" s="115"/>
    </row>
    <row r="76" spans="1:16" ht="15.6" x14ac:dyDescent="0.3">
      <c r="A76" s="53"/>
      <c r="B76" s="53"/>
      <c r="C76" s="54"/>
      <c r="D76" s="54"/>
      <c r="E76" s="55"/>
      <c r="F76" s="55"/>
      <c r="G76" s="109"/>
      <c r="H76" s="109"/>
      <c r="I76" s="25"/>
      <c r="J76" s="105"/>
      <c r="K76" s="25"/>
      <c r="L76" s="25"/>
      <c r="N76" s="114"/>
      <c r="O76" s="114"/>
      <c r="P76" s="115"/>
    </row>
    <row r="77" spans="1:16" ht="15.6" x14ac:dyDescent="0.3">
      <c r="A77" s="53"/>
      <c r="B77" s="53"/>
      <c r="C77" s="54"/>
      <c r="D77" s="54"/>
      <c r="E77" s="55"/>
      <c r="F77" s="55"/>
      <c r="G77" s="109"/>
      <c r="H77" s="109"/>
      <c r="I77" s="25"/>
      <c r="J77" s="105"/>
      <c r="K77" s="25"/>
      <c r="L77" s="25"/>
      <c r="N77" s="114"/>
      <c r="O77" s="114"/>
      <c r="P77" s="115"/>
    </row>
    <row r="78" spans="1:16" ht="15.6" x14ac:dyDescent="0.3">
      <c r="A78" s="53"/>
      <c r="B78" s="53"/>
      <c r="C78" s="54"/>
      <c r="D78" s="162"/>
      <c r="E78" s="55"/>
      <c r="F78" s="55"/>
      <c r="G78" s="109"/>
      <c r="H78" s="109"/>
      <c r="I78" s="25"/>
      <c r="J78" s="105"/>
      <c r="K78" s="25"/>
      <c r="L78" s="25"/>
      <c r="N78" s="114"/>
      <c r="O78" s="114"/>
      <c r="P78" s="115"/>
    </row>
    <row r="79" spans="1:16" ht="15.6" x14ac:dyDescent="0.3">
      <c r="A79" s="53"/>
      <c r="B79" s="53"/>
      <c r="C79" s="54"/>
      <c r="D79" s="162"/>
      <c r="E79" s="55"/>
      <c r="F79" s="55"/>
      <c r="G79" s="109"/>
      <c r="H79" s="109"/>
      <c r="I79" s="25"/>
      <c r="J79" s="105"/>
      <c r="K79" s="25"/>
      <c r="L79" s="25"/>
      <c r="N79" s="114"/>
      <c r="O79" s="114"/>
      <c r="P79" s="115"/>
    </row>
    <row r="80" spans="1:16" ht="15.6" x14ac:dyDescent="0.3">
      <c r="A80" s="53"/>
      <c r="B80" s="53"/>
      <c r="C80" s="54"/>
      <c r="D80" s="54"/>
      <c r="E80" s="55"/>
      <c r="F80" s="55"/>
      <c r="G80" s="109"/>
      <c r="H80" s="109"/>
      <c r="I80" s="25"/>
      <c r="J80" s="105"/>
      <c r="K80" s="25"/>
      <c r="L80" s="25"/>
      <c r="N80" s="114"/>
      <c r="O80" s="114"/>
      <c r="P80" s="115"/>
    </row>
    <row r="81" spans="1:16" ht="15.6" x14ac:dyDescent="0.3">
      <c r="A81" s="53"/>
      <c r="B81" s="53"/>
      <c r="C81" s="54"/>
      <c r="D81" s="54"/>
      <c r="E81" s="55"/>
      <c r="F81" s="55"/>
      <c r="G81" s="109"/>
      <c r="H81" s="109"/>
      <c r="I81" s="25"/>
      <c r="J81" s="105"/>
      <c r="K81" s="25"/>
      <c r="L81" s="25"/>
      <c r="N81" s="114"/>
      <c r="O81" s="114"/>
      <c r="P81" s="115"/>
    </row>
    <row r="82" spans="1:16" ht="15.6" x14ac:dyDescent="0.3">
      <c r="A82" s="53"/>
      <c r="B82" s="53"/>
      <c r="C82" s="54"/>
      <c r="D82" s="162"/>
      <c r="E82" s="55"/>
      <c r="F82" s="55"/>
      <c r="G82" s="109"/>
      <c r="H82" s="109"/>
      <c r="I82" s="25"/>
      <c r="J82" s="105"/>
      <c r="K82" s="25"/>
      <c r="L82" s="25"/>
      <c r="N82" s="114"/>
      <c r="O82" s="114"/>
      <c r="P82" s="115"/>
    </row>
    <row r="83" spans="1:16" ht="15.6" x14ac:dyDescent="0.3">
      <c r="A83" s="53"/>
      <c r="B83" s="53"/>
      <c r="C83" s="54"/>
      <c r="D83" s="162"/>
      <c r="E83" s="55"/>
      <c r="F83" s="55"/>
      <c r="G83" s="109"/>
      <c r="H83" s="109"/>
      <c r="I83" s="25"/>
      <c r="J83" s="105"/>
      <c r="K83" s="25"/>
      <c r="L83" s="25"/>
      <c r="N83" s="114"/>
      <c r="O83" s="114"/>
      <c r="P83" s="115"/>
    </row>
    <row r="84" spans="1:16" ht="15.6" x14ac:dyDescent="0.3">
      <c r="A84" s="53"/>
      <c r="B84" s="54"/>
      <c r="C84" s="54"/>
      <c r="D84" s="54"/>
      <c r="E84" s="55"/>
      <c r="F84" s="55"/>
      <c r="G84" s="109"/>
      <c r="H84" s="109"/>
      <c r="I84" s="25"/>
      <c r="J84" s="105"/>
      <c r="K84" s="25"/>
      <c r="L84" s="25"/>
      <c r="N84" s="114"/>
      <c r="O84" s="114"/>
      <c r="P84" s="115"/>
    </row>
    <row r="85" spans="1:16" ht="15.6" x14ac:dyDescent="0.3">
      <c r="A85" s="53"/>
      <c r="B85" s="53"/>
      <c r="C85" s="54"/>
      <c r="D85" s="54"/>
      <c r="E85" s="55"/>
      <c r="F85" s="55"/>
      <c r="G85" s="109"/>
      <c r="H85" s="109"/>
      <c r="I85" s="25"/>
      <c r="J85" s="105"/>
      <c r="K85" s="25"/>
      <c r="L85" s="25"/>
      <c r="N85" s="114"/>
      <c r="O85" s="114"/>
      <c r="P85" s="115"/>
    </row>
    <row r="86" spans="1:16" ht="15.6" x14ac:dyDescent="0.3">
      <c r="A86" s="53"/>
      <c r="B86" s="53"/>
      <c r="C86" s="54"/>
      <c r="D86" s="54"/>
      <c r="E86" s="55"/>
      <c r="F86" s="55"/>
      <c r="G86" s="109"/>
      <c r="H86" s="109"/>
      <c r="I86" s="25"/>
      <c r="J86" s="105"/>
      <c r="K86" s="25"/>
      <c r="L86" s="25"/>
      <c r="N86" s="114"/>
      <c r="O86" s="114"/>
      <c r="P86" s="115"/>
    </row>
    <row r="87" spans="1:16" ht="15.6" x14ac:dyDescent="0.3">
      <c r="A87" s="53"/>
      <c r="B87" s="54"/>
      <c r="C87" s="54"/>
      <c r="D87" s="54"/>
      <c r="E87" s="55"/>
      <c r="F87" s="55"/>
      <c r="G87" s="109"/>
      <c r="H87" s="109"/>
      <c r="I87" s="25"/>
      <c r="J87" s="105"/>
      <c r="K87" s="25"/>
      <c r="L87" s="25"/>
      <c r="N87" s="114"/>
      <c r="O87" s="114"/>
      <c r="P87" s="115"/>
    </row>
    <row r="88" spans="1:16" ht="15.6" x14ac:dyDescent="0.3">
      <c r="A88" s="53"/>
      <c r="B88" s="53"/>
      <c r="C88" s="54"/>
      <c r="D88" s="54"/>
      <c r="E88" s="55"/>
      <c r="F88" s="55"/>
      <c r="G88" s="109"/>
      <c r="H88" s="109"/>
      <c r="I88" s="25"/>
      <c r="J88" s="105"/>
      <c r="K88" s="25"/>
      <c r="L88" s="25"/>
      <c r="N88" s="114"/>
      <c r="O88" s="114"/>
      <c r="P88" s="115"/>
    </row>
    <row r="89" spans="1:16" ht="15.6" x14ac:dyDescent="0.3">
      <c r="A89" s="53"/>
      <c r="B89" s="53"/>
      <c r="C89" s="54"/>
      <c r="D89" s="162"/>
      <c r="E89" s="55"/>
      <c r="F89" s="55"/>
      <c r="G89" s="109"/>
      <c r="H89" s="109"/>
      <c r="I89" s="25"/>
      <c r="J89" s="105"/>
      <c r="K89" s="25"/>
      <c r="L89" s="25"/>
      <c r="N89" s="114"/>
      <c r="O89" s="114"/>
      <c r="P89" s="115"/>
    </row>
    <row r="90" spans="1:16" s="48" customFormat="1" ht="15.6" x14ac:dyDescent="0.3">
      <c r="A90" s="36" t="s">
        <v>239</v>
      </c>
      <c r="B90" s="36"/>
      <c r="C90" s="37"/>
      <c r="D90" s="37"/>
      <c r="E90" s="19"/>
      <c r="F90" s="19"/>
      <c r="G90" s="151"/>
      <c r="H90" s="151"/>
      <c r="I90" s="151"/>
      <c r="J90" s="189"/>
      <c r="K90" s="151"/>
      <c r="L90" s="151"/>
      <c r="N90" s="190"/>
      <c r="O90" s="190"/>
      <c r="P90" s="191"/>
    </row>
    <row r="91" spans="1:16" ht="15.6" x14ac:dyDescent="0.3">
      <c r="A91" s="53"/>
      <c r="B91" s="53"/>
      <c r="C91" s="54"/>
      <c r="D91" s="54"/>
      <c r="E91" s="55"/>
      <c r="F91" s="55"/>
      <c r="G91" s="109"/>
      <c r="H91" s="109"/>
      <c r="I91" s="25"/>
      <c r="J91" s="105"/>
      <c r="K91" s="25"/>
      <c r="L91" s="25"/>
      <c r="N91" s="114"/>
      <c r="O91" s="114"/>
      <c r="P91" s="115"/>
    </row>
    <row r="92" spans="1:16" ht="15.6" x14ac:dyDescent="0.3">
      <c r="A92" s="188"/>
      <c r="B92" s="188"/>
      <c r="C92" s="162"/>
      <c r="D92" s="162"/>
      <c r="E92" s="55"/>
      <c r="F92" s="55"/>
      <c r="G92" s="109"/>
      <c r="H92" s="109"/>
      <c r="I92" s="25"/>
      <c r="J92" s="105"/>
      <c r="K92" s="25"/>
      <c r="L92" s="25"/>
      <c r="N92" s="114"/>
      <c r="O92" s="114"/>
      <c r="P92" s="115"/>
    </row>
    <row r="93" spans="1:16" ht="15.6" x14ac:dyDescent="0.3">
      <c r="A93" s="53"/>
      <c r="B93" s="53"/>
      <c r="C93" s="54"/>
      <c r="D93" s="54"/>
      <c r="E93" s="55"/>
      <c r="F93" s="55"/>
      <c r="G93" s="109"/>
      <c r="H93" s="109"/>
      <c r="I93" s="25"/>
      <c r="J93" s="106"/>
      <c r="K93" s="25"/>
      <c r="L93" s="25"/>
      <c r="N93" s="114"/>
      <c r="O93" s="114"/>
      <c r="P93" s="115"/>
    </row>
    <row r="94" spans="1:16" ht="15.6" x14ac:dyDescent="0.3">
      <c r="A94" s="53"/>
      <c r="B94" s="53"/>
      <c r="C94" s="54"/>
      <c r="D94" s="54"/>
      <c r="E94" s="55"/>
      <c r="F94" s="55"/>
      <c r="G94" s="109"/>
      <c r="H94" s="109"/>
      <c r="I94" s="25"/>
      <c r="J94" s="106"/>
      <c r="K94" s="25"/>
      <c r="L94" s="25"/>
      <c r="N94" s="114"/>
      <c r="O94" s="114"/>
      <c r="P94" s="115"/>
    </row>
    <row r="95" spans="1:16" ht="15.6" x14ac:dyDescent="0.3">
      <c r="A95" s="53"/>
      <c r="B95" s="53"/>
      <c r="C95" s="54"/>
      <c r="D95" s="54"/>
      <c r="E95" s="55"/>
      <c r="F95" s="55"/>
      <c r="G95" s="109"/>
      <c r="H95" s="109"/>
      <c r="I95" s="25"/>
      <c r="J95" s="108"/>
      <c r="K95" s="25"/>
      <c r="L95" s="25"/>
      <c r="N95" s="114"/>
      <c r="O95" s="114"/>
      <c r="P95" s="115"/>
    </row>
    <row r="96" spans="1:16" ht="15.6" x14ac:dyDescent="0.3">
      <c r="A96" s="53"/>
      <c r="B96" s="53"/>
      <c r="C96" s="54"/>
      <c r="D96" s="54"/>
      <c r="E96" s="55"/>
      <c r="F96" s="55"/>
      <c r="G96" s="109"/>
      <c r="H96" s="109"/>
      <c r="I96" s="25"/>
      <c r="J96" s="109"/>
      <c r="K96" s="25"/>
      <c r="L96" s="25"/>
      <c r="N96" s="114"/>
      <c r="O96" s="114"/>
      <c r="P96" s="115"/>
    </row>
    <row r="97" spans="1:18" ht="15.6" x14ac:dyDescent="0.3">
      <c r="A97" s="53"/>
      <c r="B97" s="53"/>
      <c r="C97" s="54"/>
      <c r="D97" s="54"/>
      <c r="E97" s="55"/>
      <c r="F97" s="55"/>
      <c r="G97" s="109"/>
      <c r="H97" s="109"/>
      <c r="I97" s="25"/>
      <c r="J97" s="109"/>
      <c r="K97" s="25"/>
      <c r="L97" s="25"/>
      <c r="N97" s="114"/>
      <c r="O97" s="114"/>
      <c r="P97" s="115"/>
    </row>
    <row r="98" spans="1:18" ht="15.6" x14ac:dyDescent="0.3">
      <c r="A98" s="5"/>
      <c r="B98" s="53"/>
      <c r="C98" s="54"/>
      <c r="D98" s="54"/>
      <c r="E98" s="55"/>
      <c r="F98" s="55"/>
      <c r="G98" s="109"/>
      <c r="H98" s="109"/>
      <c r="I98" s="25"/>
      <c r="J98" s="109"/>
      <c r="K98" s="25"/>
      <c r="L98" s="25"/>
      <c r="N98" s="114"/>
      <c r="O98" s="114"/>
      <c r="P98" s="115"/>
    </row>
    <row r="99" spans="1:18" ht="15.6" x14ac:dyDescent="0.3">
      <c r="A99" s="5"/>
      <c r="B99" s="53"/>
      <c r="C99" s="54"/>
      <c r="D99" s="54"/>
      <c r="E99" s="55"/>
      <c r="F99" s="55"/>
      <c r="G99" s="109"/>
      <c r="H99" s="109"/>
      <c r="I99" s="25"/>
      <c r="J99" s="109"/>
      <c r="K99" s="25"/>
      <c r="L99" s="25"/>
      <c r="N99" s="114"/>
      <c r="O99" s="114"/>
      <c r="P99" s="115"/>
    </row>
    <row r="100" spans="1:18" ht="15.6" x14ac:dyDescent="0.3">
      <c r="A100" s="5"/>
      <c r="B100" s="53"/>
      <c r="C100" s="54"/>
      <c r="D100" s="54"/>
      <c r="E100" s="55"/>
      <c r="F100" s="55"/>
      <c r="G100" s="109"/>
      <c r="H100" s="109"/>
      <c r="I100" s="25"/>
      <c r="J100" s="109"/>
      <c r="K100" s="25"/>
      <c r="L100" s="25"/>
      <c r="N100" s="114"/>
      <c r="O100" s="114"/>
      <c r="P100" s="115"/>
    </row>
    <row r="101" spans="1:18" ht="15.6" x14ac:dyDescent="0.3">
      <c r="A101" s="30"/>
      <c r="B101" s="120" t="s">
        <v>18</v>
      </c>
      <c r="C101" s="120"/>
      <c r="D101" s="121">
        <v>18429550</v>
      </c>
      <c r="E101" s="103"/>
      <c r="F101" s="103"/>
      <c r="G101" s="109" t="s">
        <v>194</v>
      </c>
      <c r="H101" s="106"/>
      <c r="I101" s="25"/>
      <c r="J101" s="109"/>
      <c r="K101" s="25"/>
      <c r="L101" s="25"/>
      <c r="N101" s="114"/>
      <c r="O101" s="114"/>
      <c r="P101" s="115"/>
    </row>
    <row r="102" spans="1:18" ht="15.6" x14ac:dyDescent="0.3">
      <c r="A102" s="30"/>
      <c r="B102" s="120" t="s">
        <v>19</v>
      </c>
      <c r="C102" s="120"/>
      <c r="D102" s="121">
        <v>865800</v>
      </c>
      <c r="E102" s="103">
        <v>0</v>
      </c>
      <c r="F102" s="103"/>
      <c r="G102" s="109"/>
      <c r="H102" s="106"/>
      <c r="I102" s="25"/>
      <c r="J102" s="109"/>
      <c r="K102" s="25"/>
      <c r="L102" s="25"/>
      <c r="N102" s="114"/>
      <c r="O102" s="114"/>
      <c r="P102" s="115"/>
    </row>
    <row r="103" spans="1:18" ht="15.6" x14ac:dyDescent="0.3">
      <c r="A103" s="30"/>
      <c r="B103" s="120"/>
      <c r="C103" s="121">
        <f>D101+D102</f>
        <v>19295350</v>
      </c>
      <c r="D103" s="120">
        <v>180900</v>
      </c>
      <c r="E103" s="103">
        <f>E67</f>
        <v>0</v>
      </c>
      <c r="F103" s="103"/>
      <c r="G103" s="108"/>
      <c r="H103" s="106"/>
      <c r="I103" s="25"/>
      <c r="J103" s="109"/>
      <c r="K103" s="25"/>
      <c r="L103" s="25"/>
      <c r="N103" s="114"/>
      <c r="O103" s="114"/>
      <c r="P103" s="115"/>
    </row>
    <row r="104" spans="1:18" ht="15.6" x14ac:dyDescent="0.3">
      <c r="A104" s="117"/>
      <c r="B104" s="183" t="s">
        <v>20</v>
      </c>
      <c r="C104" s="183"/>
      <c r="D104" s="183"/>
      <c r="E104" s="104" t="s">
        <v>40</v>
      </c>
      <c r="F104" s="104" t="s">
        <v>21</v>
      </c>
      <c r="G104" s="109"/>
      <c r="H104" s="106"/>
      <c r="I104" s="177">
        <f>G106-E109</f>
        <v>3483853</v>
      </c>
      <c r="J104" s="108"/>
      <c r="K104" s="25"/>
      <c r="L104" s="25"/>
      <c r="N104" s="114"/>
      <c r="O104" s="114"/>
      <c r="P104" s="115"/>
    </row>
    <row r="105" spans="1:18" ht="15.6" x14ac:dyDescent="0.3">
      <c r="A105" s="53"/>
      <c r="B105" s="102"/>
      <c r="C105" s="102"/>
      <c r="D105" s="102"/>
      <c r="E105" s="103"/>
      <c r="F105" s="103"/>
      <c r="G105" s="109"/>
      <c r="H105" s="106"/>
      <c r="I105" s="25"/>
      <c r="J105" s="109"/>
      <c r="K105" s="25"/>
      <c r="L105" s="25"/>
      <c r="N105" s="114"/>
      <c r="O105" s="114"/>
      <c r="P105" s="115"/>
    </row>
    <row r="106" spans="1:18" ht="15.6" x14ac:dyDescent="0.3">
      <c r="A106" s="30"/>
      <c r="B106" s="102" t="s">
        <v>22</v>
      </c>
      <c r="C106" s="102"/>
      <c r="D106" s="224">
        <f>D101*18/118</f>
        <v>2811287.2881355933</v>
      </c>
      <c r="E106" s="103"/>
      <c r="F106" s="103"/>
      <c r="G106" s="109">
        <v>3483853</v>
      </c>
      <c r="H106" s="106"/>
      <c r="I106" s="25"/>
      <c r="J106" s="25"/>
      <c r="K106" s="25"/>
      <c r="L106" s="25"/>
      <c r="N106" s="114"/>
      <c r="O106" s="114"/>
      <c r="P106" s="115"/>
    </row>
    <row r="107" spans="1:18" ht="15.6" x14ac:dyDescent="0.3">
      <c r="A107" s="30"/>
      <c r="B107" s="102" t="s">
        <v>23</v>
      </c>
      <c r="C107" s="102"/>
      <c r="D107" s="224">
        <f>D102*18/118</f>
        <v>132071.18644067796</v>
      </c>
      <c r="E107" s="103"/>
      <c r="F107" s="103"/>
      <c r="G107" s="109" t="s">
        <v>240</v>
      </c>
      <c r="H107" s="106"/>
      <c r="I107" s="25"/>
      <c r="J107" s="25"/>
      <c r="K107" s="25"/>
      <c r="L107" s="25"/>
      <c r="N107" s="114"/>
      <c r="O107" s="114"/>
      <c r="P107" s="115"/>
    </row>
    <row r="108" spans="1:18" ht="15.6" x14ac:dyDescent="0.3">
      <c r="A108" s="30"/>
      <c r="B108" s="102"/>
      <c r="C108" s="102"/>
      <c r="D108" s="102"/>
      <c r="E108" s="103"/>
      <c r="F108" s="103"/>
      <c r="G108" s="109"/>
      <c r="H108" s="106"/>
      <c r="I108" s="25"/>
      <c r="J108" s="25"/>
      <c r="K108" s="25"/>
      <c r="L108" s="25"/>
      <c r="N108" s="114"/>
      <c r="O108" s="114"/>
      <c r="P108" s="115"/>
    </row>
    <row r="109" spans="1:18" ht="15.6" x14ac:dyDescent="0.3">
      <c r="A109" s="30"/>
      <c r="B109" s="102" t="s">
        <v>24</v>
      </c>
      <c r="C109" s="102"/>
      <c r="D109" s="102">
        <f>SUM(D106:D108)</f>
        <v>2943358.4745762711</v>
      </c>
      <c r="E109" s="103">
        <f>E103</f>
        <v>0</v>
      </c>
      <c r="F109" s="158">
        <f>D109-E109</f>
        <v>2943358.4745762711</v>
      </c>
      <c r="G109" s="179"/>
      <c r="H109" s="106"/>
      <c r="I109" s="25"/>
      <c r="N109" s="114"/>
      <c r="O109" s="114"/>
      <c r="P109" s="115"/>
    </row>
    <row r="110" spans="1:18" ht="15.6" x14ac:dyDescent="0.3">
      <c r="A110" s="30"/>
      <c r="B110" s="102"/>
      <c r="C110" s="102"/>
      <c r="D110" s="102"/>
      <c r="E110" s="103"/>
      <c r="F110" s="147" t="s">
        <v>134</v>
      </c>
      <c r="G110" s="109"/>
      <c r="H110" s="175"/>
      <c r="I110" s="25"/>
      <c r="N110" s="114"/>
      <c r="O110" s="114"/>
      <c r="P110" s="115"/>
    </row>
    <row r="111" spans="1:18" ht="15.6" x14ac:dyDescent="0.3">
      <c r="A111" s="116"/>
      <c r="B111" s="181" t="s">
        <v>25</v>
      </c>
      <c r="C111" s="184">
        <v>46173</v>
      </c>
      <c r="D111" s="181"/>
      <c r="E111" s="182" t="s">
        <v>29</v>
      </c>
      <c r="F111" s="182"/>
      <c r="G111" s="109"/>
      <c r="H111" s="175"/>
      <c r="I111" s="25"/>
      <c r="N111" s="114"/>
      <c r="O111" s="114"/>
      <c r="P111" s="115"/>
    </row>
    <row r="112" spans="1:18" ht="15.6" x14ac:dyDescent="0.3">
      <c r="A112" s="53"/>
      <c r="B112" s="102"/>
      <c r="C112" s="102"/>
      <c r="D112" s="102"/>
      <c r="E112" s="103"/>
      <c r="F112" s="103"/>
      <c r="G112" s="109"/>
      <c r="H112" s="109"/>
      <c r="I112" s="25"/>
      <c r="N112" s="114"/>
      <c r="O112" s="114"/>
      <c r="P112" s="115"/>
      <c r="R112" s="20"/>
    </row>
    <row r="113" spans="1:16" ht="15.6" x14ac:dyDescent="0.3">
      <c r="A113" s="5"/>
      <c r="B113" s="36" t="s">
        <v>195</v>
      </c>
      <c r="C113" s="54"/>
      <c r="D113" s="54"/>
      <c r="E113" s="55"/>
      <c r="F113" s="55"/>
      <c r="G113" s="109"/>
      <c r="H113" s="109"/>
      <c r="I113" s="25"/>
      <c r="N113" s="114"/>
      <c r="O113" s="114"/>
      <c r="P113" s="115"/>
    </row>
    <row r="114" spans="1:16" ht="21" x14ac:dyDescent="0.4">
      <c r="A114" s="4" t="s">
        <v>0</v>
      </c>
      <c r="B114" s="4" t="s">
        <v>2</v>
      </c>
      <c r="C114" s="4" t="s">
        <v>1</v>
      </c>
      <c r="D114" s="4" t="s">
        <v>3</v>
      </c>
      <c r="E114" s="6" t="s">
        <v>5</v>
      </c>
      <c r="F114" s="6" t="s">
        <v>6</v>
      </c>
      <c r="G114" s="25"/>
      <c r="H114" s="25"/>
      <c r="I114" s="25"/>
      <c r="N114" s="114"/>
      <c r="O114" s="114"/>
      <c r="P114" s="115"/>
    </row>
    <row r="115" spans="1:16" ht="15.6" x14ac:dyDescent="0.3">
      <c r="A115" s="5">
        <v>46174</v>
      </c>
      <c r="B115" s="53"/>
      <c r="C115" s="54" t="s">
        <v>196</v>
      </c>
      <c r="D115" s="54" t="s">
        <v>16</v>
      </c>
      <c r="E115" s="55">
        <v>15614</v>
      </c>
      <c r="F115" s="55">
        <v>102360</v>
      </c>
      <c r="G115" s="25"/>
      <c r="H115" s="25"/>
      <c r="I115" s="25"/>
      <c r="N115" s="114"/>
      <c r="O115" s="114"/>
      <c r="P115" s="115"/>
    </row>
    <row r="116" spans="1:16" ht="15.6" x14ac:dyDescent="0.3">
      <c r="A116" s="5">
        <v>46175</v>
      </c>
      <c r="B116" s="53"/>
      <c r="C116" s="54" t="s">
        <v>15</v>
      </c>
      <c r="D116" s="54" t="s">
        <v>16</v>
      </c>
      <c r="E116" s="55">
        <v>12558</v>
      </c>
      <c r="F116" s="55">
        <v>82323</v>
      </c>
      <c r="G116" s="25"/>
      <c r="H116" s="25"/>
      <c r="I116" s="25"/>
      <c r="N116" s="114"/>
      <c r="O116" s="114"/>
      <c r="P116" s="115"/>
    </row>
    <row r="117" spans="1:16" ht="15.6" x14ac:dyDescent="0.3">
      <c r="A117" s="5">
        <v>46182</v>
      </c>
      <c r="B117" s="53"/>
      <c r="C117" s="54" t="s">
        <v>64</v>
      </c>
      <c r="D117" s="54" t="s">
        <v>63</v>
      </c>
      <c r="E117" s="55">
        <v>22881</v>
      </c>
      <c r="F117" s="55">
        <v>150000</v>
      </c>
      <c r="G117" s="25"/>
      <c r="H117" s="25"/>
      <c r="I117" s="25"/>
      <c r="N117" s="114"/>
      <c r="O117" s="114"/>
      <c r="P117" s="115"/>
    </row>
    <row r="118" spans="1:16" ht="15.6" x14ac:dyDescent="0.3">
      <c r="A118" s="5">
        <v>46182</v>
      </c>
      <c r="B118" s="53"/>
      <c r="C118" s="54" t="s">
        <v>15</v>
      </c>
      <c r="D118" s="54" t="s">
        <v>16</v>
      </c>
      <c r="E118" s="55">
        <v>10070</v>
      </c>
      <c r="F118" s="55">
        <v>66017</v>
      </c>
      <c r="G118" s="25"/>
      <c r="H118" s="25"/>
      <c r="I118" s="25"/>
      <c r="N118" s="114"/>
      <c r="O118" s="114"/>
      <c r="P118" s="115"/>
    </row>
    <row r="119" spans="1:16" x14ac:dyDescent="0.3">
      <c r="A119" s="9">
        <v>46183</v>
      </c>
      <c r="C119" s="169" t="s">
        <v>15</v>
      </c>
      <c r="D119" s="169" t="s">
        <v>16</v>
      </c>
      <c r="E119" s="8">
        <v>3052</v>
      </c>
      <c r="F119" s="8">
        <v>20000</v>
      </c>
    </row>
    <row r="120" spans="1:16" ht="15.6" x14ac:dyDescent="0.3">
      <c r="A120" s="5">
        <v>46178</v>
      </c>
      <c r="B120" s="53"/>
      <c r="C120" s="54" t="s">
        <v>206</v>
      </c>
      <c r="D120" s="54" t="s">
        <v>207</v>
      </c>
      <c r="E120" s="55">
        <v>3813</v>
      </c>
      <c r="F120" s="55">
        <v>25000</v>
      </c>
      <c r="G120" s="25"/>
      <c r="H120" s="25"/>
      <c r="I120" s="25"/>
      <c r="N120" s="114"/>
      <c r="O120" s="114"/>
      <c r="P120" s="115"/>
    </row>
    <row r="121" spans="1:16" ht="15.6" x14ac:dyDescent="0.3">
      <c r="A121" s="5">
        <v>46177</v>
      </c>
      <c r="B121" s="53"/>
      <c r="C121" s="54" t="s">
        <v>15</v>
      </c>
      <c r="D121" s="54" t="s">
        <v>16</v>
      </c>
      <c r="E121" s="55">
        <v>9528</v>
      </c>
      <c r="F121" s="55">
        <v>62462</v>
      </c>
      <c r="G121" s="25"/>
      <c r="H121" s="25"/>
      <c r="I121" s="25"/>
      <c r="N121" s="114"/>
      <c r="O121" s="114"/>
      <c r="P121" s="115"/>
    </row>
    <row r="122" spans="1:16" ht="15.6" x14ac:dyDescent="0.3">
      <c r="A122" s="5">
        <v>46178</v>
      </c>
      <c r="B122" s="53"/>
      <c r="C122" s="54" t="s">
        <v>15</v>
      </c>
      <c r="D122" s="54" t="s">
        <v>16</v>
      </c>
      <c r="E122" s="55">
        <v>10769</v>
      </c>
      <c r="F122" s="55">
        <v>70600</v>
      </c>
      <c r="G122" s="25"/>
      <c r="H122" s="25"/>
      <c r="I122" s="25"/>
      <c r="N122" s="114"/>
      <c r="O122" s="114"/>
      <c r="P122" s="115"/>
    </row>
    <row r="123" spans="1:16" x14ac:dyDescent="0.3">
      <c r="A123" s="9">
        <v>42530</v>
      </c>
      <c r="C123" s="169" t="s">
        <v>15</v>
      </c>
      <c r="D123" s="169" t="s">
        <v>16</v>
      </c>
      <c r="E123" s="8">
        <v>4576</v>
      </c>
      <c r="F123" s="8">
        <v>30000</v>
      </c>
    </row>
    <row r="124" spans="1:16" ht="15.6" x14ac:dyDescent="0.3">
      <c r="A124" s="5">
        <v>46186</v>
      </c>
      <c r="B124" s="53"/>
      <c r="C124" s="54" t="s">
        <v>227</v>
      </c>
      <c r="D124" s="54" t="s">
        <v>9</v>
      </c>
      <c r="E124" s="55">
        <v>930508</v>
      </c>
      <c r="F124" s="55">
        <v>6100000</v>
      </c>
      <c r="G124" s="25"/>
      <c r="H124" s="25"/>
      <c r="I124" s="25"/>
      <c r="N124" s="114"/>
      <c r="O124" s="114"/>
      <c r="P124" s="115"/>
    </row>
    <row r="125" spans="1:16" ht="15.6" x14ac:dyDescent="0.3">
      <c r="A125" s="5">
        <v>46188</v>
      </c>
      <c r="B125" s="53"/>
      <c r="C125" s="54" t="s">
        <v>15</v>
      </c>
      <c r="D125" s="54" t="s">
        <v>16</v>
      </c>
      <c r="E125" s="55">
        <v>7560</v>
      </c>
      <c r="F125" s="55">
        <v>49564</v>
      </c>
      <c r="G125" s="25"/>
      <c r="H125" s="25"/>
      <c r="I125" s="25"/>
      <c r="N125" s="114"/>
      <c r="O125" s="114"/>
      <c r="P125" s="115"/>
    </row>
    <row r="126" spans="1:16" ht="15.6" x14ac:dyDescent="0.3">
      <c r="A126" s="5">
        <v>46185</v>
      </c>
      <c r="B126" s="53"/>
      <c r="C126" s="54" t="s">
        <v>15</v>
      </c>
      <c r="D126" s="54" t="s">
        <v>16</v>
      </c>
      <c r="E126" s="55">
        <v>7910</v>
      </c>
      <c r="F126" s="55">
        <v>51856</v>
      </c>
      <c r="G126" s="25"/>
      <c r="H126" s="25"/>
      <c r="I126" s="25"/>
      <c r="N126" s="114"/>
      <c r="O126" s="114"/>
      <c r="P126" s="115"/>
    </row>
    <row r="127" spans="1:16" ht="15.6" x14ac:dyDescent="0.3">
      <c r="A127" s="5">
        <v>46189</v>
      </c>
      <c r="B127" s="53"/>
      <c r="C127" s="54" t="s">
        <v>15</v>
      </c>
      <c r="D127" s="54" t="s">
        <v>16</v>
      </c>
      <c r="E127" s="55">
        <v>8260</v>
      </c>
      <c r="F127" s="55">
        <v>54147</v>
      </c>
      <c r="G127" s="25"/>
      <c r="H127" s="25"/>
      <c r="I127" s="25"/>
      <c r="N127" s="114"/>
      <c r="O127" s="114"/>
      <c r="P127" s="115"/>
    </row>
    <row r="128" spans="1:16" ht="15.6" x14ac:dyDescent="0.3">
      <c r="A128" s="5">
        <v>46184</v>
      </c>
      <c r="B128" s="53"/>
      <c r="C128" s="54" t="s">
        <v>15</v>
      </c>
      <c r="D128" s="54" t="s">
        <v>16</v>
      </c>
      <c r="E128" s="55">
        <v>3052</v>
      </c>
      <c r="F128" s="55">
        <v>20000</v>
      </c>
      <c r="G128" s="25"/>
      <c r="H128" s="25"/>
      <c r="I128" s="25"/>
      <c r="N128" s="114"/>
      <c r="O128" s="114"/>
      <c r="P128" s="115"/>
    </row>
    <row r="129" spans="1:16" ht="15.6" x14ac:dyDescent="0.3">
      <c r="A129" s="5">
        <v>46184</v>
      </c>
      <c r="B129" s="53"/>
      <c r="C129" s="54" t="s">
        <v>15</v>
      </c>
      <c r="D129" s="54" t="s">
        <v>16</v>
      </c>
      <c r="E129" s="55">
        <v>12764</v>
      </c>
      <c r="F129" s="55">
        <v>83674</v>
      </c>
      <c r="G129" s="25"/>
      <c r="H129" s="25"/>
      <c r="I129" s="25"/>
      <c r="N129" s="114"/>
      <c r="O129" s="114"/>
      <c r="P129" s="115"/>
    </row>
    <row r="130" spans="1:16" ht="15.6" x14ac:dyDescent="0.3">
      <c r="A130" s="5">
        <v>46190</v>
      </c>
      <c r="B130" s="53"/>
      <c r="C130" s="54" t="s">
        <v>15</v>
      </c>
      <c r="D130" s="54" t="s">
        <v>16</v>
      </c>
      <c r="E130" s="55">
        <v>4576</v>
      </c>
      <c r="F130" s="55">
        <v>30000</v>
      </c>
      <c r="G130" s="25"/>
      <c r="H130" s="25"/>
      <c r="I130" s="25"/>
      <c r="N130" s="114"/>
      <c r="O130" s="114"/>
      <c r="P130" s="115"/>
    </row>
    <row r="131" spans="1:16" ht="15.6" x14ac:dyDescent="0.3">
      <c r="A131" s="5">
        <v>46191</v>
      </c>
      <c r="B131" s="53"/>
      <c r="C131" s="54" t="s">
        <v>228</v>
      </c>
      <c r="D131" s="54" t="s">
        <v>63</v>
      </c>
      <c r="E131" s="55">
        <v>7779</v>
      </c>
      <c r="F131" s="55">
        <v>51000</v>
      </c>
      <c r="G131" s="25"/>
      <c r="H131" s="25"/>
      <c r="I131" s="25"/>
      <c r="N131" s="114"/>
      <c r="O131" s="114"/>
      <c r="P131" s="115"/>
    </row>
    <row r="132" spans="1:16" ht="15.6" x14ac:dyDescent="0.3">
      <c r="A132" s="5">
        <v>46191</v>
      </c>
      <c r="B132" s="53"/>
      <c r="C132" s="54" t="s">
        <v>230</v>
      </c>
      <c r="D132" s="54" t="s">
        <v>9</v>
      </c>
      <c r="E132" s="55">
        <v>915254</v>
      </c>
      <c r="F132" s="55">
        <v>6000000</v>
      </c>
      <c r="G132" s="25"/>
      <c r="H132" s="25"/>
      <c r="I132" s="25"/>
      <c r="N132" s="114"/>
      <c r="O132" s="114"/>
      <c r="P132" s="115"/>
    </row>
    <row r="133" spans="1:16" ht="15.6" x14ac:dyDescent="0.3">
      <c r="A133" s="53">
        <v>46202</v>
      </c>
      <c r="B133" s="53"/>
      <c r="C133" s="54" t="s">
        <v>15</v>
      </c>
      <c r="D133" s="54" t="s">
        <v>16</v>
      </c>
      <c r="E133" s="55">
        <v>4576</v>
      </c>
      <c r="F133" s="55">
        <v>30000</v>
      </c>
      <c r="G133" s="25"/>
      <c r="H133" s="25"/>
      <c r="I133" s="25"/>
      <c r="N133" s="114"/>
      <c r="O133" s="114"/>
      <c r="P133" s="115"/>
    </row>
    <row r="134" spans="1:16" ht="15.6" x14ac:dyDescent="0.3">
      <c r="A134" s="53">
        <v>46191</v>
      </c>
      <c r="B134" s="53"/>
      <c r="C134" s="54" t="s">
        <v>15</v>
      </c>
      <c r="D134" s="54" t="s">
        <v>16</v>
      </c>
      <c r="E134" s="55">
        <v>7722</v>
      </c>
      <c r="F134" s="55">
        <v>50622</v>
      </c>
      <c r="G134" s="25"/>
      <c r="H134" s="25"/>
      <c r="I134" s="25"/>
      <c r="N134" s="114"/>
      <c r="O134" s="114"/>
      <c r="P134" s="115"/>
    </row>
    <row r="135" spans="1:16" ht="15.6" x14ac:dyDescent="0.3">
      <c r="A135" s="53">
        <v>46190</v>
      </c>
      <c r="B135" s="53"/>
      <c r="C135" s="54" t="s">
        <v>15</v>
      </c>
      <c r="D135" s="54" t="s">
        <v>16</v>
      </c>
      <c r="E135" s="55">
        <v>7341</v>
      </c>
      <c r="F135" s="55">
        <v>48124</v>
      </c>
      <c r="G135" s="25"/>
      <c r="H135" s="25"/>
      <c r="I135" s="25"/>
      <c r="N135" s="114"/>
      <c r="O135" s="114"/>
      <c r="P135" s="115"/>
    </row>
    <row r="136" spans="1:16" ht="15.6" x14ac:dyDescent="0.3">
      <c r="A136" s="53">
        <v>46196</v>
      </c>
      <c r="B136" s="53"/>
      <c r="C136" s="54" t="s">
        <v>15</v>
      </c>
      <c r="D136" s="54" t="s">
        <v>16</v>
      </c>
      <c r="E136" s="55">
        <v>3050</v>
      </c>
      <c r="F136" s="55">
        <v>20000</v>
      </c>
      <c r="G136" s="25"/>
      <c r="H136" s="25"/>
      <c r="I136" s="25"/>
      <c r="N136" s="114"/>
      <c r="O136" s="114"/>
      <c r="P136" s="115"/>
    </row>
    <row r="137" spans="1:16" s="56" customFormat="1" ht="15.6" x14ac:dyDescent="0.3">
      <c r="A137" s="53">
        <v>46197</v>
      </c>
      <c r="B137" s="53"/>
      <c r="C137" s="54" t="s">
        <v>15</v>
      </c>
      <c r="D137" s="54" t="s">
        <v>16</v>
      </c>
      <c r="E137" s="55">
        <v>12320</v>
      </c>
      <c r="F137" s="55">
        <v>80766</v>
      </c>
      <c r="G137" s="109"/>
      <c r="H137" s="109"/>
      <c r="I137" s="109"/>
      <c r="N137" s="73"/>
      <c r="O137" s="73"/>
      <c r="P137" s="74"/>
    </row>
    <row r="138" spans="1:16" ht="15.6" x14ac:dyDescent="0.3">
      <c r="A138" s="5">
        <v>46190</v>
      </c>
      <c r="B138" s="53"/>
      <c r="C138" s="54" t="s">
        <v>231</v>
      </c>
      <c r="D138" s="54" t="s">
        <v>11</v>
      </c>
      <c r="E138" s="55">
        <v>63701</v>
      </c>
      <c r="F138" s="55">
        <v>417600</v>
      </c>
      <c r="G138" s="25"/>
      <c r="H138" s="25"/>
      <c r="I138" s="25"/>
      <c r="N138" s="114"/>
      <c r="O138" s="114"/>
      <c r="P138" s="115"/>
    </row>
    <row r="139" spans="1:16" ht="15.6" x14ac:dyDescent="0.3">
      <c r="A139" s="5">
        <v>46191</v>
      </c>
      <c r="B139" s="53"/>
      <c r="C139" s="54" t="s">
        <v>116</v>
      </c>
      <c r="D139" s="54" t="s">
        <v>232</v>
      </c>
      <c r="E139" s="55">
        <v>1830</v>
      </c>
      <c r="F139" s="55">
        <v>12000</v>
      </c>
      <c r="G139" s="25"/>
      <c r="H139" s="25"/>
      <c r="I139" s="25"/>
      <c r="N139" s="114"/>
      <c r="O139" s="114"/>
      <c r="P139" s="115"/>
    </row>
    <row r="140" spans="1:16" ht="15.6" x14ac:dyDescent="0.3">
      <c r="A140" s="5">
        <v>46199</v>
      </c>
      <c r="B140" s="53"/>
      <c r="C140" s="54" t="s">
        <v>15</v>
      </c>
      <c r="D140" s="54" t="s">
        <v>16</v>
      </c>
      <c r="E140" s="55">
        <v>14866</v>
      </c>
      <c r="F140" s="55">
        <v>97453</v>
      </c>
      <c r="G140" s="25"/>
      <c r="H140" s="25"/>
      <c r="I140" s="25"/>
      <c r="N140" s="114"/>
      <c r="O140" s="114"/>
      <c r="P140" s="115"/>
    </row>
    <row r="141" spans="1:16" ht="15.6" x14ac:dyDescent="0.3">
      <c r="A141" s="5">
        <v>46199</v>
      </c>
      <c r="B141" s="53"/>
      <c r="C141" s="54" t="s">
        <v>14</v>
      </c>
      <c r="D141" s="54" t="s">
        <v>57</v>
      </c>
      <c r="E141" s="55">
        <v>2583</v>
      </c>
      <c r="F141" s="55">
        <v>19930</v>
      </c>
      <c r="G141" s="25"/>
      <c r="H141" s="25"/>
      <c r="I141" s="25"/>
      <c r="N141" s="114"/>
      <c r="O141" s="114"/>
      <c r="P141" s="115"/>
    </row>
    <row r="142" spans="1:16" ht="15.6" x14ac:dyDescent="0.3">
      <c r="A142" s="5">
        <v>46192</v>
      </c>
      <c r="B142" s="53"/>
      <c r="C142" s="54" t="s">
        <v>12</v>
      </c>
      <c r="D142" s="54" t="s">
        <v>41</v>
      </c>
      <c r="E142" s="55">
        <v>10449</v>
      </c>
      <c r="F142" s="55">
        <v>68500</v>
      </c>
      <c r="G142" s="25"/>
      <c r="H142" s="25"/>
      <c r="I142" s="25"/>
      <c r="N142" s="114"/>
      <c r="O142" s="114"/>
      <c r="P142" s="115"/>
    </row>
    <row r="143" spans="1:16" s="56" customFormat="1" ht="15.6" x14ac:dyDescent="0.3">
      <c r="A143" s="53">
        <v>46202</v>
      </c>
      <c r="B143" s="53"/>
      <c r="C143" s="54" t="s">
        <v>10</v>
      </c>
      <c r="D143" s="54" t="s">
        <v>9</v>
      </c>
      <c r="E143" s="55">
        <v>186101</v>
      </c>
      <c r="F143" s="55">
        <v>1220000</v>
      </c>
      <c r="G143" s="109"/>
      <c r="H143" s="109"/>
      <c r="I143" s="109"/>
      <c r="N143" s="73"/>
      <c r="O143" s="73"/>
      <c r="P143" s="74"/>
    </row>
    <row r="144" spans="1:16" ht="15.6" x14ac:dyDescent="0.3">
      <c r="A144" s="5">
        <v>46192</v>
      </c>
      <c r="B144" s="53"/>
      <c r="C144" s="54" t="s">
        <v>15</v>
      </c>
      <c r="D144" s="54" t="s">
        <v>16</v>
      </c>
      <c r="E144" s="55">
        <v>11903</v>
      </c>
      <c r="F144" s="55">
        <v>78033</v>
      </c>
      <c r="G144" s="25"/>
      <c r="H144" s="25"/>
      <c r="I144" s="25"/>
      <c r="N144" s="114"/>
      <c r="O144" s="114"/>
      <c r="P144" s="115"/>
    </row>
    <row r="145" spans="1:16" ht="15.6" x14ac:dyDescent="0.3">
      <c r="A145" s="5">
        <v>46195</v>
      </c>
      <c r="B145" s="53"/>
      <c r="C145" s="54" t="s">
        <v>15</v>
      </c>
      <c r="D145" s="54" t="s">
        <v>16</v>
      </c>
      <c r="E145" s="55">
        <v>10074</v>
      </c>
      <c r="F145" s="55">
        <v>66046</v>
      </c>
      <c r="G145" s="25"/>
      <c r="H145" s="25"/>
      <c r="I145" s="25"/>
      <c r="N145" s="114"/>
      <c r="O145" s="114"/>
      <c r="P145" s="115"/>
    </row>
    <row r="146" spans="1:16" ht="15.6" x14ac:dyDescent="0.3">
      <c r="A146" s="5">
        <v>46200</v>
      </c>
      <c r="B146" s="53"/>
      <c r="C146" s="54" t="s">
        <v>27</v>
      </c>
      <c r="D146" s="54" t="s">
        <v>236</v>
      </c>
      <c r="E146" s="55">
        <v>3173</v>
      </c>
      <c r="F146" s="55">
        <v>76200</v>
      </c>
      <c r="G146" s="25"/>
      <c r="H146" s="25"/>
      <c r="I146" s="25"/>
      <c r="N146" s="114"/>
      <c r="O146" s="114"/>
      <c r="P146" s="115"/>
    </row>
    <row r="147" spans="1:16" ht="15.6" x14ac:dyDescent="0.3">
      <c r="A147" s="5">
        <v>46199</v>
      </c>
      <c r="B147" s="53"/>
      <c r="C147" s="54" t="s">
        <v>27</v>
      </c>
      <c r="D147" s="54" t="s">
        <v>13</v>
      </c>
      <c r="E147" s="55">
        <v>11059</v>
      </c>
      <c r="F147" s="55">
        <v>72000</v>
      </c>
      <c r="G147" s="25"/>
      <c r="H147" s="25"/>
      <c r="I147" s="25"/>
      <c r="N147" s="114"/>
      <c r="O147" s="114"/>
      <c r="P147" s="115"/>
    </row>
    <row r="148" spans="1:16" ht="15.6" x14ac:dyDescent="0.3">
      <c r="A148" s="5">
        <v>46189</v>
      </c>
      <c r="B148" s="53"/>
      <c r="C148" s="54" t="s">
        <v>237</v>
      </c>
      <c r="D148" s="54" t="s">
        <v>238</v>
      </c>
      <c r="E148" s="55">
        <v>30431</v>
      </c>
      <c r="F148" s="55">
        <v>200000</v>
      </c>
      <c r="G148" s="25"/>
      <c r="H148" s="25"/>
      <c r="I148" s="25"/>
      <c r="N148" s="114"/>
      <c r="O148" s="114"/>
      <c r="P148" s="115"/>
    </row>
    <row r="149" spans="1:16" ht="15.6" x14ac:dyDescent="0.3">
      <c r="A149" s="5">
        <v>46202</v>
      </c>
      <c r="B149" s="53"/>
      <c r="C149" s="54" t="s">
        <v>237</v>
      </c>
      <c r="D149" s="54" t="s">
        <v>238</v>
      </c>
      <c r="E149" s="55">
        <v>3043</v>
      </c>
      <c r="F149" s="55">
        <v>20000</v>
      </c>
      <c r="G149" s="25"/>
      <c r="H149" s="25"/>
      <c r="I149" s="25"/>
      <c r="N149" s="114"/>
      <c r="O149" s="114"/>
      <c r="P149" s="115"/>
    </row>
    <row r="150" spans="1:16" ht="15.6" x14ac:dyDescent="0.3">
      <c r="A150" s="5">
        <v>46174</v>
      </c>
      <c r="B150" s="53"/>
      <c r="C150" s="54" t="s">
        <v>237</v>
      </c>
      <c r="D150" s="54" t="s">
        <v>238</v>
      </c>
      <c r="E150" s="55">
        <v>3043</v>
      </c>
      <c r="F150" s="55">
        <v>20000</v>
      </c>
      <c r="G150" s="25"/>
      <c r="H150" s="25"/>
      <c r="I150" s="25"/>
      <c r="N150" s="114"/>
      <c r="O150" s="114"/>
      <c r="P150" s="115"/>
    </row>
    <row r="151" spans="1:16" ht="15.6" x14ac:dyDescent="0.3">
      <c r="A151" s="5">
        <v>46182</v>
      </c>
      <c r="B151" s="53"/>
      <c r="C151" s="54" t="s">
        <v>237</v>
      </c>
      <c r="D151" s="54" t="s">
        <v>238</v>
      </c>
      <c r="E151" s="55">
        <v>3043</v>
      </c>
      <c r="F151" s="55">
        <v>20000</v>
      </c>
      <c r="G151" s="25"/>
      <c r="H151" s="25"/>
      <c r="I151" s="25"/>
      <c r="N151" s="114"/>
      <c r="O151" s="114"/>
      <c r="P151" s="115"/>
    </row>
    <row r="152" spans="1:16" ht="15.6" x14ac:dyDescent="0.3">
      <c r="A152" s="5">
        <v>46186</v>
      </c>
      <c r="B152" s="53"/>
      <c r="C152" s="54" t="s">
        <v>237</v>
      </c>
      <c r="D152" s="54" t="s">
        <v>238</v>
      </c>
      <c r="E152" s="55">
        <v>7607</v>
      </c>
      <c r="F152" s="55">
        <v>50000</v>
      </c>
      <c r="G152" s="25"/>
      <c r="H152" s="25"/>
      <c r="I152" s="25"/>
      <c r="N152" s="114"/>
      <c r="O152" s="114"/>
      <c r="P152" s="115"/>
    </row>
    <row r="153" spans="1:16" ht="15.6" x14ac:dyDescent="0.3">
      <c r="A153" s="5">
        <v>46202</v>
      </c>
      <c r="B153" s="53"/>
      <c r="C153" s="54" t="s">
        <v>237</v>
      </c>
      <c r="D153" s="54" t="s">
        <v>238</v>
      </c>
      <c r="E153" s="55">
        <v>3043</v>
      </c>
      <c r="F153" s="55">
        <v>20000</v>
      </c>
      <c r="G153" s="25"/>
      <c r="H153" s="25"/>
      <c r="I153" s="25"/>
      <c r="N153" s="114"/>
      <c r="O153" s="114"/>
      <c r="P153" s="115"/>
    </row>
    <row r="154" spans="1:16" ht="15.6" x14ac:dyDescent="0.3">
      <c r="A154" s="5">
        <v>46203</v>
      </c>
      <c r="B154" s="53"/>
      <c r="C154" s="54" t="s">
        <v>237</v>
      </c>
      <c r="D154" s="54" t="s">
        <v>238</v>
      </c>
      <c r="E154" s="55">
        <v>15216</v>
      </c>
      <c r="F154" s="55">
        <v>100000</v>
      </c>
      <c r="G154" s="25"/>
      <c r="H154" s="25"/>
      <c r="I154" s="25"/>
      <c r="N154" s="114"/>
      <c r="O154" s="114"/>
      <c r="P154" s="115"/>
    </row>
    <row r="155" spans="1:16" ht="15.6" x14ac:dyDescent="0.3">
      <c r="A155" s="5"/>
      <c r="B155" s="53"/>
      <c r="C155" s="54"/>
      <c r="D155" s="54"/>
      <c r="E155" s="55"/>
      <c r="F155" s="55"/>
      <c r="G155" s="25"/>
      <c r="H155" s="25"/>
      <c r="I155" s="25"/>
      <c r="N155" s="114"/>
      <c r="O155" s="114"/>
      <c r="P155" s="115"/>
    </row>
    <row r="156" spans="1:16" ht="15.6" x14ac:dyDescent="0.3">
      <c r="A156" s="5"/>
      <c r="B156" s="53"/>
      <c r="C156" s="54"/>
      <c r="D156" s="54"/>
      <c r="E156" s="55"/>
      <c r="F156" s="55"/>
      <c r="G156" s="25"/>
      <c r="H156" s="25"/>
      <c r="I156" s="25"/>
      <c r="N156" s="114"/>
      <c r="O156" s="114"/>
      <c r="P156" s="115"/>
    </row>
    <row r="157" spans="1:16" ht="15.6" x14ac:dyDescent="0.3">
      <c r="A157" s="5"/>
      <c r="B157" s="53"/>
      <c r="C157" s="54"/>
      <c r="D157" s="54"/>
      <c r="E157" s="55"/>
      <c r="F157" s="55"/>
      <c r="G157" s="25"/>
      <c r="H157" s="25"/>
      <c r="I157" s="25"/>
      <c r="N157" s="114"/>
      <c r="O157" s="114"/>
      <c r="P157" s="115"/>
    </row>
    <row r="158" spans="1:16" ht="15.6" x14ac:dyDescent="0.3">
      <c r="A158" s="5">
        <v>46174</v>
      </c>
      <c r="B158" s="53"/>
      <c r="C158" s="54" t="s">
        <v>197</v>
      </c>
      <c r="D158" s="54" t="s">
        <v>17</v>
      </c>
      <c r="E158" s="55"/>
      <c r="F158" s="55">
        <v>250000</v>
      </c>
      <c r="G158" s="25"/>
      <c r="H158" s="25"/>
      <c r="I158" s="25"/>
      <c r="N158" s="114"/>
      <c r="O158" s="114"/>
      <c r="P158" s="115"/>
    </row>
    <row r="159" spans="1:16" ht="15.6" x14ac:dyDescent="0.3">
      <c r="A159" s="5">
        <v>46174</v>
      </c>
      <c r="B159" s="53"/>
      <c r="C159" s="54" t="s">
        <v>199</v>
      </c>
      <c r="D159" s="54" t="s">
        <v>198</v>
      </c>
      <c r="E159" s="55"/>
      <c r="F159" s="55">
        <v>70000</v>
      </c>
      <c r="G159" s="25"/>
      <c r="H159" s="25"/>
      <c r="I159" s="25"/>
      <c r="N159" s="114"/>
      <c r="O159" s="114"/>
      <c r="P159" s="115"/>
    </row>
    <row r="160" spans="1:16" ht="15.6" x14ac:dyDescent="0.3">
      <c r="A160" s="5">
        <v>46174</v>
      </c>
      <c r="B160" s="53"/>
      <c r="C160" s="54" t="s">
        <v>200</v>
      </c>
      <c r="D160" s="54" t="s">
        <v>201</v>
      </c>
      <c r="E160" s="55"/>
      <c r="F160" s="55">
        <v>250000</v>
      </c>
      <c r="G160" s="25"/>
      <c r="H160" s="25"/>
      <c r="I160" s="25"/>
      <c r="N160" s="114"/>
      <c r="O160" s="114"/>
      <c r="P160" s="115"/>
    </row>
    <row r="161" spans="1:16" ht="15.6" x14ac:dyDescent="0.3">
      <c r="A161" s="5">
        <v>46178</v>
      </c>
      <c r="B161" s="53"/>
      <c r="C161" s="54" t="s">
        <v>191</v>
      </c>
      <c r="D161" s="54" t="s">
        <v>190</v>
      </c>
      <c r="E161" s="55"/>
      <c r="F161" s="55">
        <v>115500</v>
      </c>
      <c r="G161" s="25"/>
      <c r="H161" s="25"/>
      <c r="I161" s="25"/>
      <c r="N161" s="114"/>
      <c r="O161" s="114"/>
      <c r="P161" s="115"/>
    </row>
    <row r="162" spans="1:16" ht="15.6" x14ac:dyDescent="0.3">
      <c r="A162" s="5">
        <v>46106</v>
      </c>
      <c r="B162" s="53"/>
      <c r="C162" s="54" t="s">
        <v>205</v>
      </c>
      <c r="D162" s="54" t="s">
        <v>204</v>
      </c>
      <c r="E162" s="55"/>
      <c r="F162" s="55">
        <v>22100</v>
      </c>
      <c r="G162" s="25"/>
      <c r="H162" s="25"/>
      <c r="I162" s="25"/>
      <c r="N162" s="114"/>
      <c r="O162" s="114"/>
      <c r="P162" s="115"/>
    </row>
    <row r="163" spans="1:16" ht="15.6" x14ac:dyDescent="0.3">
      <c r="A163" s="5">
        <v>46185</v>
      </c>
      <c r="B163" s="53"/>
      <c r="C163" s="54" t="s">
        <v>191</v>
      </c>
      <c r="D163" s="54" t="s">
        <v>190</v>
      </c>
      <c r="E163" s="55"/>
      <c r="F163" s="55">
        <v>76500</v>
      </c>
      <c r="G163" s="25"/>
      <c r="H163" s="25"/>
      <c r="I163" s="25"/>
      <c r="N163" s="114"/>
      <c r="O163" s="114"/>
      <c r="P163" s="115"/>
    </row>
    <row r="164" spans="1:16" ht="15.6" x14ac:dyDescent="0.3">
      <c r="A164" s="5">
        <v>46184</v>
      </c>
      <c r="B164" s="53"/>
      <c r="C164" s="54" t="s">
        <v>197</v>
      </c>
      <c r="D164" s="54" t="s">
        <v>17</v>
      </c>
      <c r="E164" s="55"/>
      <c r="F164" s="55">
        <v>797500</v>
      </c>
      <c r="G164" s="25"/>
      <c r="H164" s="25"/>
      <c r="I164" s="25"/>
      <c r="N164" s="114"/>
      <c r="O164" s="114"/>
      <c r="P164" s="115"/>
    </row>
    <row r="165" spans="1:16" ht="15.6" x14ac:dyDescent="0.3">
      <c r="A165" s="5">
        <v>46190</v>
      </c>
      <c r="B165" s="53"/>
      <c r="C165" s="54" t="s">
        <v>191</v>
      </c>
      <c r="D165" s="54" t="s">
        <v>233</v>
      </c>
      <c r="E165" s="55"/>
      <c r="F165" s="55">
        <v>115500</v>
      </c>
      <c r="G165" s="25"/>
      <c r="H165" s="25"/>
      <c r="I165" s="25"/>
      <c r="N165" s="114"/>
      <c r="O165" s="114"/>
      <c r="P165" s="115"/>
    </row>
    <row r="166" spans="1:16" ht="15.6" x14ac:dyDescent="0.3">
      <c r="A166" s="5">
        <v>46199</v>
      </c>
      <c r="B166" s="53"/>
      <c r="C166" s="54" t="s">
        <v>235</v>
      </c>
      <c r="D166" s="54" t="s">
        <v>234</v>
      </c>
      <c r="E166" s="55"/>
      <c r="F166" s="55">
        <v>20000</v>
      </c>
      <c r="G166" s="25"/>
      <c r="H166" s="25"/>
      <c r="I166" s="25"/>
      <c r="N166" s="114"/>
      <c r="O166" s="114"/>
      <c r="P166" s="115"/>
    </row>
    <row r="167" spans="1:16" ht="15.6" x14ac:dyDescent="0.3">
      <c r="A167" s="78">
        <v>46198</v>
      </c>
      <c r="B167" s="117"/>
      <c r="C167" s="172" t="s">
        <v>60</v>
      </c>
      <c r="D167" s="172" t="s">
        <v>17</v>
      </c>
      <c r="E167" s="173"/>
      <c r="F167" s="60">
        <v>527220</v>
      </c>
      <c r="N167" s="114"/>
      <c r="O167" s="114"/>
      <c r="P167" s="115"/>
    </row>
    <row r="168" spans="1:16" ht="15.6" x14ac:dyDescent="0.3">
      <c r="A168" s="78"/>
      <c r="B168" s="120" t="s">
        <v>18</v>
      </c>
      <c r="C168" s="120"/>
      <c r="D168" s="121">
        <v>16477000</v>
      </c>
      <c r="E168" s="103"/>
      <c r="F168" s="103"/>
      <c r="N168" s="114"/>
      <c r="O168" s="114"/>
      <c r="P168" s="115"/>
    </row>
    <row r="169" spans="1:16" ht="15.6" x14ac:dyDescent="0.3">
      <c r="A169" s="78"/>
      <c r="B169" s="120" t="s">
        <v>19</v>
      </c>
      <c r="C169" s="120"/>
      <c r="D169" s="121">
        <v>1200000</v>
      </c>
      <c r="E169" s="103"/>
      <c r="F169" s="103"/>
      <c r="N169" s="114"/>
      <c r="O169" s="114"/>
      <c r="P169" s="115"/>
    </row>
    <row r="170" spans="1:16" ht="15.6" x14ac:dyDescent="0.3">
      <c r="A170" s="78"/>
      <c r="B170" s="120"/>
      <c r="C170" s="121">
        <f>D168+D169</f>
        <v>17677000</v>
      </c>
      <c r="D170" s="148"/>
      <c r="E170" s="103">
        <f>SUM(E115:E169)</f>
        <v>2406698</v>
      </c>
      <c r="F170" s="103"/>
      <c r="N170" s="114"/>
      <c r="O170" s="114"/>
      <c r="P170" s="115"/>
    </row>
    <row r="171" spans="1:16" ht="15.6" x14ac:dyDescent="0.3">
      <c r="A171" s="78"/>
      <c r="B171" s="119" t="s">
        <v>20</v>
      </c>
      <c r="C171" s="119"/>
      <c r="D171" s="119"/>
      <c r="E171" s="104" t="s">
        <v>40</v>
      </c>
      <c r="F171" s="104" t="s">
        <v>21</v>
      </c>
      <c r="N171" s="114"/>
      <c r="O171" s="114"/>
      <c r="P171" s="115"/>
    </row>
    <row r="172" spans="1:16" ht="15.6" x14ac:dyDescent="0.3">
      <c r="A172" s="78"/>
      <c r="B172" s="102"/>
      <c r="C172" s="101"/>
      <c r="D172" s="102"/>
      <c r="E172" s="103"/>
      <c r="F172" s="103"/>
      <c r="N172" s="114"/>
      <c r="O172" s="114"/>
      <c r="P172" s="115"/>
    </row>
    <row r="173" spans="1:16" ht="15.6" x14ac:dyDescent="0.3">
      <c r="A173" s="78"/>
      <c r="B173" s="102" t="s">
        <v>22</v>
      </c>
      <c r="C173" s="102"/>
      <c r="D173" s="224">
        <f>D168*18/118</f>
        <v>2513440.6779661016</v>
      </c>
      <c r="E173" s="103"/>
      <c r="F173" s="103"/>
      <c r="N173" s="114"/>
      <c r="O173" s="114"/>
      <c r="P173" s="115"/>
    </row>
    <row r="174" spans="1:16" ht="15.6" x14ac:dyDescent="0.3">
      <c r="A174" s="78"/>
      <c r="B174" s="102" t="s">
        <v>23</v>
      </c>
      <c r="C174" s="102"/>
      <c r="D174" s="224">
        <f>D169*18/118</f>
        <v>183050.84745762713</v>
      </c>
      <c r="E174" s="103"/>
      <c r="F174" s="103"/>
      <c r="N174" s="114"/>
      <c r="O174" s="114"/>
      <c r="P174" s="115"/>
    </row>
    <row r="175" spans="1:16" ht="15.6" x14ac:dyDescent="0.3">
      <c r="A175" s="78"/>
      <c r="B175" s="102"/>
      <c r="C175" s="102"/>
      <c r="D175" s="102"/>
      <c r="E175" s="103"/>
      <c r="F175" s="103"/>
      <c r="N175" s="114"/>
      <c r="O175" s="114"/>
      <c r="P175" s="115"/>
    </row>
    <row r="176" spans="1:16" ht="15.6" x14ac:dyDescent="0.3">
      <c r="A176" s="78"/>
      <c r="B176" s="102" t="s">
        <v>24</v>
      </c>
      <c r="C176" s="102"/>
      <c r="D176" s="102">
        <f>SUM(D173:D175)</f>
        <v>2696491.5254237289</v>
      </c>
      <c r="E176" s="103">
        <f>E170</f>
        <v>2406698</v>
      </c>
      <c r="F176" s="123">
        <f>D176-E176</f>
        <v>289793.52542372886</v>
      </c>
      <c r="N176" s="114"/>
      <c r="O176" s="114"/>
      <c r="P176" s="115"/>
    </row>
    <row r="177" spans="1:16" ht="15.6" x14ac:dyDescent="0.3">
      <c r="A177" s="78"/>
      <c r="B177" s="102"/>
      <c r="C177" s="102"/>
      <c r="D177" s="102"/>
      <c r="E177" s="103"/>
      <c r="F177" s="103">
        <v>146503</v>
      </c>
      <c r="N177" s="114"/>
      <c r="O177" s="114"/>
      <c r="P177" s="115"/>
    </row>
    <row r="178" spans="1:16" ht="21" x14ac:dyDescent="0.4">
      <c r="A178" s="78"/>
      <c r="B178" s="181" t="s">
        <v>25</v>
      </c>
      <c r="C178" s="181"/>
      <c r="D178" s="181"/>
      <c r="E178" s="182" t="s">
        <v>29</v>
      </c>
      <c r="F178" s="187">
        <f>F176-F177</f>
        <v>143290.52542372886</v>
      </c>
      <c r="N178" s="114"/>
      <c r="O178" s="114"/>
      <c r="P178" s="115"/>
    </row>
    <row r="179" spans="1:16" ht="15.6" x14ac:dyDescent="0.3">
      <c r="A179" s="78"/>
      <c r="B179" s="21"/>
      <c r="C179" s="21"/>
      <c r="D179" s="21"/>
      <c r="E179" s="17"/>
      <c r="F179" s="7"/>
      <c r="N179" s="114"/>
      <c r="O179" s="114"/>
      <c r="P179" s="115"/>
    </row>
    <row r="180" spans="1:16" ht="15.6" x14ac:dyDescent="0.3">
      <c r="A180" s="78"/>
      <c r="B180" s="21" t="s">
        <v>137</v>
      </c>
      <c r="C180" s="21"/>
      <c r="D180" s="21"/>
      <c r="E180" s="17"/>
      <c r="F180" s="7"/>
      <c r="N180" s="114"/>
      <c r="O180" s="114"/>
      <c r="P180" s="115"/>
    </row>
    <row r="181" spans="1:16" ht="15.6" x14ac:dyDescent="0.3">
      <c r="A181" s="78"/>
      <c r="B181" s="30"/>
      <c r="C181" s="21"/>
      <c r="D181" s="21"/>
      <c r="E181" s="17"/>
      <c r="F181" s="7"/>
      <c r="N181" s="114"/>
      <c r="O181" s="114"/>
      <c r="P181" s="115"/>
    </row>
    <row r="182" spans="1:16" ht="15.6" x14ac:dyDescent="0.3">
      <c r="A182" s="78"/>
      <c r="B182" s="53"/>
      <c r="C182" s="54"/>
      <c r="D182" s="54"/>
      <c r="E182" s="55"/>
      <c r="F182" s="55"/>
      <c r="G182" s="56"/>
      <c r="N182" s="114"/>
      <c r="O182" s="114"/>
      <c r="P182" s="115"/>
    </row>
    <row r="183" spans="1:16" ht="15.6" x14ac:dyDescent="0.3">
      <c r="A183" s="78"/>
      <c r="B183" s="53"/>
      <c r="C183" s="54"/>
      <c r="D183" s="54"/>
      <c r="E183" s="55"/>
      <c r="F183" s="55"/>
      <c r="G183" s="56"/>
      <c r="N183" s="114"/>
      <c r="O183" s="114"/>
      <c r="P183" s="115"/>
    </row>
    <row r="184" spans="1:16" ht="15.6" x14ac:dyDescent="0.3">
      <c r="A184" s="78"/>
      <c r="B184" s="53"/>
      <c r="C184" s="54"/>
      <c r="D184" s="54"/>
      <c r="E184" s="55"/>
      <c r="F184" s="55"/>
      <c r="G184" s="56"/>
      <c r="N184" s="114"/>
      <c r="O184" s="114"/>
      <c r="P184" s="115"/>
    </row>
    <row r="185" spans="1:16" ht="15.6" x14ac:dyDescent="0.3">
      <c r="A185" s="78"/>
      <c r="B185" s="53"/>
      <c r="C185" s="54"/>
      <c r="D185" s="54"/>
      <c r="E185" s="55"/>
      <c r="F185" s="55"/>
      <c r="G185" s="56"/>
      <c r="N185" s="114"/>
      <c r="O185" s="114"/>
      <c r="P185" s="115"/>
    </row>
    <row r="186" spans="1:16" ht="15.6" x14ac:dyDescent="0.3">
      <c r="A186" s="78"/>
      <c r="B186" s="53"/>
      <c r="C186" s="54"/>
      <c r="D186" s="54"/>
      <c r="E186" s="55"/>
      <c r="F186" s="55"/>
      <c r="G186" s="56"/>
      <c r="N186" s="114"/>
      <c r="O186" s="114"/>
      <c r="P186" s="115"/>
    </row>
    <row r="187" spans="1:16" ht="15.6" x14ac:dyDescent="0.3">
      <c r="A187" s="78"/>
      <c r="B187" s="53"/>
      <c r="C187" s="54"/>
      <c r="D187" s="54"/>
      <c r="E187" s="55"/>
      <c r="F187" s="55"/>
      <c r="G187" s="56"/>
      <c r="N187" s="114"/>
      <c r="O187" s="114"/>
      <c r="P187" s="115"/>
    </row>
    <row r="188" spans="1:16" ht="15.6" x14ac:dyDescent="0.3">
      <c r="A188" s="78"/>
      <c r="B188" s="53"/>
      <c r="C188" s="54"/>
      <c r="D188" s="54"/>
      <c r="E188" s="55"/>
      <c r="F188" s="55"/>
      <c r="G188" s="56"/>
      <c r="N188" s="114"/>
      <c r="O188" s="114"/>
      <c r="P188" s="115"/>
    </row>
    <row r="189" spans="1:16" ht="15.6" x14ac:dyDescent="0.3">
      <c r="A189" s="78"/>
      <c r="B189" s="53"/>
      <c r="C189" s="54"/>
      <c r="D189" s="54"/>
      <c r="E189" s="55"/>
      <c r="F189" s="55"/>
      <c r="G189" s="56"/>
      <c r="N189" s="114"/>
      <c r="O189" s="114"/>
      <c r="P189" s="115"/>
    </row>
    <row r="190" spans="1:16" ht="15.6" x14ac:dyDescent="0.3">
      <c r="A190" s="78"/>
      <c r="B190" s="53"/>
      <c r="C190" s="54"/>
      <c r="D190" s="54"/>
      <c r="E190" s="55"/>
      <c r="F190" s="55"/>
      <c r="G190" s="56"/>
      <c r="N190" s="114"/>
      <c r="O190" s="114"/>
      <c r="P190" s="115"/>
    </row>
    <row r="191" spans="1:16" ht="15.6" x14ac:dyDescent="0.3">
      <c r="A191" s="78"/>
      <c r="B191" s="53"/>
      <c r="C191" s="54"/>
      <c r="D191" s="54"/>
      <c r="E191" s="55"/>
      <c r="F191" s="55"/>
      <c r="G191" s="56"/>
      <c r="N191" s="114"/>
      <c r="O191" s="114"/>
      <c r="P191" s="115"/>
    </row>
    <row r="192" spans="1:16" ht="15.6" x14ac:dyDescent="0.3">
      <c r="A192" s="78"/>
      <c r="B192" s="53"/>
      <c r="C192" s="54"/>
      <c r="D192" s="54"/>
      <c r="E192" s="55"/>
      <c r="F192" s="55"/>
      <c r="G192" s="56"/>
      <c r="N192" s="114"/>
      <c r="O192" s="114"/>
      <c r="P192" s="115"/>
    </row>
    <row r="193" spans="1:16" ht="15.6" x14ac:dyDescent="0.3">
      <c r="A193" s="78"/>
      <c r="B193" s="53"/>
      <c r="C193" s="54"/>
      <c r="D193" s="54"/>
      <c r="E193" s="55"/>
      <c r="F193" s="55"/>
      <c r="G193" s="56"/>
      <c r="N193" s="114"/>
      <c r="O193" s="114"/>
      <c r="P193" s="115"/>
    </row>
    <row r="194" spans="1:16" ht="15.6" x14ac:dyDescent="0.3">
      <c r="A194" s="78"/>
      <c r="B194" s="54"/>
      <c r="C194" s="54"/>
      <c r="D194" s="54"/>
      <c r="E194" s="55"/>
      <c r="F194" s="55"/>
      <c r="G194" s="56"/>
      <c r="N194" s="114"/>
      <c r="O194" s="114"/>
      <c r="P194" s="115"/>
    </row>
    <row r="195" spans="1:16" x14ac:dyDescent="0.3">
      <c r="A195" s="78"/>
      <c r="B195" s="53"/>
      <c r="C195" s="54"/>
      <c r="D195" s="54"/>
      <c r="E195" s="55"/>
      <c r="F195" s="55"/>
      <c r="G195" s="56"/>
    </row>
    <row r="196" spans="1:16" x14ac:dyDescent="0.3">
      <c r="A196" s="78"/>
      <c r="B196" s="53"/>
      <c r="C196" s="54"/>
      <c r="D196" s="54"/>
      <c r="E196" s="55"/>
      <c r="F196" s="55"/>
      <c r="G196" s="56"/>
    </row>
    <row r="197" spans="1:16" x14ac:dyDescent="0.3">
      <c r="A197" s="78"/>
      <c r="B197" s="54"/>
      <c r="C197" s="54"/>
      <c r="D197" s="54"/>
      <c r="E197" s="55"/>
      <c r="F197" s="55"/>
      <c r="G197" s="56"/>
    </row>
    <row r="198" spans="1:16" x14ac:dyDescent="0.3">
      <c r="A198" s="78"/>
      <c r="B198" s="53"/>
      <c r="C198" s="54"/>
      <c r="D198" s="54"/>
      <c r="E198" s="55"/>
      <c r="F198" s="55"/>
      <c r="G198" s="56"/>
    </row>
    <row r="199" spans="1:16" x14ac:dyDescent="0.3">
      <c r="A199" s="78"/>
      <c r="B199" s="53"/>
      <c r="C199" s="54"/>
      <c r="D199" s="54"/>
      <c r="E199" s="55"/>
      <c r="F199" s="55"/>
      <c r="G199" s="56"/>
    </row>
    <row r="200" spans="1:16" x14ac:dyDescent="0.3">
      <c r="A200" s="78"/>
      <c r="B200" s="53"/>
      <c r="C200" s="54"/>
      <c r="D200" s="54"/>
      <c r="E200" s="55"/>
      <c r="F200" s="55"/>
      <c r="G200" s="56"/>
    </row>
    <row r="201" spans="1:16" x14ac:dyDescent="0.3">
      <c r="A201" s="78"/>
      <c r="B201" s="53"/>
      <c r="C201" s="54"/>
      <c r="D201" s="54"/>
      <c r="E201" s="55"/>
      <c r="F201" s="157"/>
      <c r="G201" s="56"/>
    </row>
    <row r="202" spans="1:16" x14ac:dyDescent="0.3">
      <c r="A202" s="78"/>
      <c r="B202" s="53"/>
      <c r="C202" s="54"/>
      <c r="D202" s="54"/>
      <c r="E202" s="55"/>
      <c r="F202" s="55"/>
      <c r="G202" s="56"/>
    </row>
    <row r="203" spans="1:16" x14ac:dyDescent="0.3">
      <c r="A203" s="78"/>
      <c r="B203" s="53"/>
      <c r="C203" s="54"/>
      <c r="D203" s="54"/>
      <c r="E203" s="55"/>
      <c r="F203" s="55"/>
      <c r="G203" s="56"/>
    </row>
    <row r="204" spans="1:16" x14ac:dyDescent="0.3">
      <c r="A204" s="78"/>
      <c r="B204" s="53"/>
      <c r="C204" s="54"/>
      <c r="D204" s="54"/>
      <c r="E204" s="55"/>
      <c r="F204" s="55"/>
      <c r="G204" s="56"/>
    </row>
    <row r="205" spans="1:16" x14ac:dyDescent="0.3">
      <c r="A205" s="78"/>
      <c r="B205" s="53"/>
      <c r="C205" s="54"/>
      <c r="D205" s="54"/>
      <c r="E205" s="55"/>
      <c r="F205" s="55"/>
      <c r="G205" s="56"/>
    </row>
    <row r="206" spans="1:16" x14ac:dyDescent="0.3">
      <c r="A206" s="78"/>
      <c r="B206" s="53"/>
      <c r="C206" s="54"/>
      <c r="D206" s="54"/>
      <c r="E206" s="55"/>
      <c r="F206" s="55"/>
      <c r="G206" s="56"/>
    </row>
    <row r="207" spans="1:16" x14ac:dyDescent="0.3">
      <c r="A207" s="78"/>
      <c r="B207" s="5"/>
      <c r="C207" s="1"/>
      <c r="D207" s="1"/>
      <c r="E207" s="7"/>
      <c r="F207" s="7"/>
    </row>
    <row r="208" spans="1:16" x14ac:dyDescent="0.3">
      <c r="A208" s="78"/>
      <c r="B208" s="5"/>
      <c r="C208" s="1"/>
      <c r="D208" s="1"/>
      <c r="E208" s="7"/>
      <c r="F208" s="7"/>
    </row>
    <row r="209" spans="1:8" x14ac:dyDescent="0.3">
      <c r="A209" s="78"/>
      <c r="B209" s="5"/>
      <c r="C209" s="1"/>
      <c r="D209" s="1"/>
      <c r="E209" s="7"/>
      <c r="F209" s="7"/>
      <c r="H209" s="20"/>
    </row>
    <row r="210" spans="1:8" x14ac:dyDescent="0.3">
      <c r="A210" s="78"/>
      <c r="B210" s="1"/>
      <c r="C210" s="1"/>
      <c r="D210" s="1"/>
      <c r="E210" s="7"/>
      <c r="F210" s="7"/>
    </row>
    <row r="211" spans="1:8" x14ac:dyDescent="0.3">
      <c r="A211" s="78"/>
      <c r="B211" s="1"/>
      <c r="C211" s="1"/>
      <c r="D211" s="1"/>
      <c r="E211" s="7"/>
      <c r="F211" s="7"/>
    </row>
    <row r="212" spans="1:8" x14ac:dyDescent="0.3">
      <c r="A212" s="78"/>
      <c r="B212" s="30"/>
      <c r="C212" s="21"/>
      <c r="D212" s="21"/>
      <c r="E212" s="7"/>
      <c r="F212" s="7"/>
    </row>
    <row r="213" spans="1:8" x14ac:dyDescent="0.3">
      <c r="A213" s="78"/>
      <c r="B213" s="30"/>
      <c r="C213" s="21"/>
      <c r="D213" s="21"/>
      <c r="E213" s="7"/>
      <c r="F213" s="7"/>
    </row>
    <row r="214" spans="1:8" ht="21" x14ac:dyDescent="0.4">
      <c r="A214" s="78"/>
      <c r="B214" s="125"/>
      <c r="C214" s="125"/>
      <c r="D214" s="125"/>
      <c r="E214" s="126"/>
      <c r="F214" s="126"/>
    </row>
    <row r="215" spans="1:8" ht="15.6" x14ac:dyDescent="0.3">
      <c r="A215" s="25"/>
      <c r="B215" s="120" t="s">
        <v>18</v>
      </c>
      <c r="C215" s="120"/>
      <c r="D215" s="121">
        <v>19789250</v>
      </c>
      <c r="E215" s="103"/>
      <c r="F215" s="103"/>
    </row>
    <row r="216" spans="1:8" ht="21" x14ac:dyDescent="0.4">
      <c r="A216" s="125"/>
      <c r="B216" s="120" t="s">
        <v>19</v>
      </c>
      <c r="C216" s="120"/>
      <c r="D216" s="121">
        <v>1805900</v>
      </c>
      <c r="E216" s="103"/>
      <c r="F216" s="103"/>
    </row>
    <row r="217" spans="1:8" ht="15.6" x14ac:dyDescent="0.3">
      <c r="A217" s="95"/>
      <c r="B217" s="120"/>
      <c r="C217" s="121">
        <f>D215+D216</f>
        <v>21595150</v>
      </c>
      <c r="D217" s="120"/>
      <c r="E217" s="103">
        <f>SUM(E181:E216)</f>
        <v>0</v>
      </c>
      <c r="F217" s="103"/>
    </row>
    <row r="218" spans="1:8" x14ac:dyDescent="0.3">
      <c r="A218" s="95"/>
      <c r="B218" s="119" t="s">
        <v>20</v>
      </c>
      <c r="C218" s="119"/>
      <c r="D218" s="119"/>
      <c r="E218" s="104" t="s">
        <v>40</v>
      </c>
      <c r="F218" s="104" t="s">
        <v>21</v>
      </c>
    </row>
    <row r="219" spans="1:8" x14ac:dyDescent="0.3">
      <c r="A219" s="95"/>
      <c r="B219" s="102"/>
      <c r="C219" s="101"/>
      <c r="D219" s="102"/>
      <c r="E219" s="103"/>
      <c r="F219" s="103"/>
    </row>
    <row r="220" spans="1:8" x14ac:dyDescent="0.3">
      <c r="A220" s="95"/>
      <c r="B220" s="102" t="s">
        <v>22</v>
      </c>
      <c r="C220" s="102"/>
      <c r="D220" s="224">
        <f>D215*18/118</f>
        <v>3018699.1525423727</v>
      </c>
      <c r="E220" s="103"/>
      <c r="F220" s="103"/>
    </row>
    <row r="221" spans="1:8" x14ac:dyDescent="0.3">
      <c r="A221" s="95"/>
      <c r="B221" s="102" t="s">
        <v>23</v>
      </c>
      <c r="C221" s="102"/>
      <c r="D221" s="224">
        <f>D216*18/118</f>
        <v>275476.27118644066</v>
      </c>
      <c r="E221" s="103"/>
      <c r="F221" s="103"/>
    </row>
    <row r="222" spans="1:8" x14ac:dyDescent="0.3">
      <c r="A222" s="95"/>
      <c r="B222" s="102"/>
      <c r="C222" s="102"/>
      <c r="D222" s="102"/>
      <c r="E222" s="103"/>
      <c r="F222" s="103"/>
    </row>
    <row r="223" spans="1:8" x14ac:dyDescent="0.3">
      <c r="A223" s="95"/>
      <c r="B223" s="102" t="s">
        <v>24</v>
      </c>
      <c r="C223" s="102"/>
      <c r="D223" s="102">
        <f>SUM(D220:D222)</f>
        <v>3294175.4237288134</v>
      </c>
      <c r="E223" s="103">
        <f>E217</f>
        <v>0</v>
      </c>
      <c r="F223" s="123">
        <f>D223-E223</f>
        <v>3294175.4237288134</v>
      </c>
    </row>
    <row r="224" spans="1:8" x14ac:dyDescent="0.3">
      <c r="A224" s="95"/>
      <c r="B224" s="102"/>
      <c r="C224" s="149">
        <v>46106</v>
      </c>
      <c r="D224" s="102"/>
      <c r="E224" s="103"/>
      <c r="F224" s="103"/>
    </row>
    <row r="225" spans="1:9" x14ac:dyDescent="0.3">
      <c r="A225" s="95"/>
      <c r="B225" s="129" t="s">
        <v>25</v>
      </c>
      <c r="C225" s="129"/>
      <c r="D225" s="129"/>
      <c r="E225" s="130" t="s">
        <v>29</v>
      </c>
      <c r="F225" s="130"/>
    </row>
    <row r="226" spans="1:9" x14ac:dyDescent="0.3">
      <c r="A226" s="95"/>
      <c r="B226" s="27"/>
      <c r="C226" s="27"/>
      <c r="D226" s="27"/>
      <c r="E226" s="35"/>
      <c r="F226" s="35"/>
    </row>
    <row r="227" spans="1:9" x14ac:dyDescent="0.3">
      <c r="A227" s="95"/>
      <c r="B227" s="25"/>
      <c r="C227" s="27"/>
      <c r="D227" s="27"/>
      <c r="E227" s="35"/>
      <c r="F227" s="35"/>
      <c r="I227" s="20"/>
    </row>
    <row r="228" spans="1:9" x14ac:dyDescent="0.3">
      <c r="A228" s="95"/>
      <c r="B228" s="25"/>
      <c r="C228" s="27"/>
      <c r="D228" s="27"/>
      <c r="E228" s="35"/>
      <c r="F228" s="35"/>
      <c r="I228" s="20"/>
    </row>
    <row r="229" spans="1:9" x14ac:dyDescent="0.3">
      <c r="A229" s="95"/>
      <c r="B229" s="25"/>
      <c r="C229" s="27"/>
      <c r="D229" s="27"/>
      <c r="E229" s="35"/>
      <c r="F229" s="35"/>
      <c r="I229" s="20"/>
    </row>
    <row r="230" spans="1:9" x14ac:dyDescent="0.3">
      <c r="A230" s="95"/>
      <c r="B230" s="25"/>
      <c r="C230" s="27"/>
      <c r="D230" s="27"/>
      <c r="E230" s="35"/>
      <c r="F230" s="35"/>
      <c r="I230" s="20"/>
    </row>
    <row r="231" spans="1:9" x14ac:dyDescent="0.3">
      <c r="A231" s="95"/>
      <c r="B231" s="25"/>
      <c r="C231" s="27"/>
      <c r="D231" s="27"/>
      <c r="E231" s="35"/>
      <c r="F231" s="35"/>
      <c r="I231" s="20"/>
    </row>
    <row r="232" spans="1:9" x14ac:dyDescent="0.3">
      <c r="A232" s="95"/>
      <c r="B232" s="27"/>
      <c r="C232" s="27"/>
      <c r="D232" s="27"/>
      <c r="E232" s="35"/>
      <c r="F232" s="35"/>
      <c r="I232" s="20"/>
    </row>
    <row r="233" spans="1:9" x14ac:dyDescent="0.3">
      <c r="A233" s="95"/>
      <c r="B233" s="27"/>
      <c r="C233" s="27"/>
      <c r="D233" s="27"/>
      <c r="E233" s="35"/>
      <c r="F233" s="35"/>
    </row>
    <row r="234" spans="1:9" x14ac:dyDescent="0.3">
      <c r="A234" s="95"/>
      <c r="B234" s="27"/>
      <c r="C234" s="27"/>
      <c r="D234" s="27"/>
      <c r="E234" s="35"/>
      <c r="F234" s="35"/>
    </row>
    <row r="235" spans="1:9" x14ac:dyDescent="0.3">
      <c r="A235" s="95"/>
      <c r="B235" s="25"/>
      <c r="C235" s="27"/>
      <c r="D235" s="27"/>
      <c r="E235" s="35"/>
      <c r="F235" s="35"/>
    </row>
    <row r="236" spans="1:9" x14ac:dyDescent="0.3">
      <c r="A236" s="95"/>
      <c r="B236" s="27"/>
      <c r="C236" s="27"/>
      <c r="D236" s="27"/>
      <c r="E236" s="35"/>
      <c r="F236" s="35"/>
    </row>
    <row r="237" spans="1:9" x14ac:dyDescent="0.3">
      <c r="A237" s="95"/>
      <c r="B237" s="25"/>
      <c r="C237" s="27"/>
      <c r="D237" s="27"/>
      <c r="E237" s="35"/>
      <c r="F237" s="38"/>
    </row>
    <row r="238" spans="1:9" x14ac:dyDescent="0.3">
      <c r="A238" s="95"/>
      <c r="B238" s="25"/>
      <c r="C238" s="25"/>
      <c r="D238" s="25"/>
      <c r="E238" s="35"/>
      <c r="F238" s="38"/>
    </row>
    <row r="239" spans="1:9" ht="16.2" customHeight="1" x14ac:dyDescent="0.3">
      <c r="A239" s="95"/>
      <c r="B239" s="25"/>
      <c r="C239" s="25"/>
      <c r="D239" s="25"/>
      <c r="E239" s="35"/>
      <c r="F239" s="35"/>
    </row>
    <row r="240" spans="1:9" ht="16.2" customHeight="1" x14ac:dyDescent="0.3">
      <c r="A240" s="95"/>
      <c r="B240" s="25"/>
      <c r="C240" s="27"/>
      <c r="D240" s="27"/>
      <c r="E240" s="35"/>
      <c r="F240" s="35"/>
    </row>
    <row r="241" spans="1:6" x14ac:dyDescent="0.3">
      <c r="A241" s="95"/>
      <c r="B241" s="25"/>
      <c r="C241" s="27"/>
      <c r="D241" s="27"/>
      <c r="E241" s="35"/>
      <c r="F241" s="35"/>
    </row>
    <row r="242" spans="1:6" x14ac:dyDescent="0.3">
      <c r="A242" s="95"/>
      <c r="B242" s="25"/>
      <c r="C242" s="27"/>
      <c r="D242" s="27"/>
      <c r="E242" s="35"/>
      <c r="F242" s="124"/>
    </row>
    <row r="243" spans="1:6" x14ac:dyDescent="0.3">
      <c r="A243" s="78"/>
      <c r="B243" s="25"/>
      <c r="C243" s="27"/>
      <c r="D243" s="27"/>
      <c r="E243" s="35"/>
      <c r="F243" s="35"/>
    </row>
    <row r="244" spans="1:6" x14ac:dyDescent="0.3">
      <c r="A244" s="78"/>
      <c r="B244" s="25"/>
      <c r="C244" s="27"/>
      <c r="D244" s="27"/>
      <c r="E244" s="35"/>
      <c r="F244" s="35"/>
    </row>
    <row r="245" spans="1:6" x14ac:dyDescent="0.3">
      <c r="A245" s="78"/>
      <c r="B245" s="25"/>
      <c r="C245" s="27"/>
      <c r="D245" s="27"/>
      <c r="E245" s="35"/>
      <c r="F245" s="35"/>
    </row>
    <row r="246" spans="1:6" x14ac:dyDescent="0.3">
      <c r="A246" s="78"/>
      <c r="B246" s="25"/>
      <c r="C246" s="25"/>
      <c r="D246" s="25"/>
      <c r="E246" s="35"/>
      <c r="F246" s="35"/>
    </row>
    <row r="247" spans="1:6" ht="21" x14ac:dyDescent="0.4">
      <c r="A247" s="78"/>
      <c r="B247" s="125"/>
      <c r="C247" s="125"/>
      <c r="D247" s="125"/>
      <c r="E247" s="126"/>
      <c r="F247" s="126"/>
    </row>
    <row r="248" spans="1:6" x14ac:dyDescent="0.3">
      <c r="A248" s="25"/>
      <c r="B248" s="25"/>
      <c r="C248" s="25"/>
      <c r="D248" s="25"/>
      <c r="E248" s="35"/>
      <c r="F248" s="35"/>
    </row>
    <row r="249" spans="1:6" ht="21" x14ac:dyDescent="0.4">
      <c r="A249" s="125"/>
      <c r="B249" s="25"/>
      <c r="C249" s="25"/>
      <c r="D249" s="25"/>
      <c r="E249" s="35"/>
      <c r="F249" s="35"/>
    </row>
    <row r="250" spans="1:6" x14ac:dyDescent="0.3">
      <c r="A250" s="78"/>
      <c r="B250" s="25"/>
      <c r="C250" s="25"/>
      <c r="D250" s="25"/>
      <c r="E250" s="35"/>
      <c r="F250" s="35"/>
    </row>
    <row r="251" spans="1:6" x14ac:dyDescent="0.3">
      <c r="A251" s="78"/>
      <c r="B251" s="25"/>
      <c r="C251" s="25"/>
      <c r="D251" s="25"/>
      <c r="E251" s="35"/>
      <c r="F251" s="35"/>
    </row>
    <row r="252" spans="1:6" x14ac:dyDescent="0.3">
      <c r="A252" s="78"/>
      <c r="B252" s="25"/>
      <c r="C252" s="25"/>
      <c r="D252" s="25"/>
      <c r="E252" s="35"/>
      <c r="F252" s="35"/>
    </row>
    <row r="253" spans="1:6" x14ac:dyDescent="0.3">
      <c r="A253" s="78"/>
      <c r="B253" s="25"/>
      <c r="C253" s="25"/>
      <c r="D253" s="25"/>
      <c r="E253" s="35"/>
      <c r="F253" s="35"/>
    </row>
    <row r="254" spans="1:6" x14ac:dyDescent="0.3">
      <c r="A254" s="78"/>
      <c r="B254" s="25"/>
      <c r="C254" s="25"/>
      <c r="D254" s="25"/>
      <c r="E254" s="35"/>
      <c r="F254" s="35"/>
    </row>
    <row r="255" spans="1:6" x14ac:dyDescent="0.3">
      <c r="A255" s="78"/>
      <c r="B255" s="25"/>
      <c r="C255" s="25"/>
      <c r="D255" s="25"/>
      <c r="E255" s="35"/>
      <c r="F255" s="35"/>
    </row>
    <row r="256" spans="1:6" x14ac:dyDescent="0.3">
      <c r="A256" s="78"/>
      <c r="B256" s="25"/>
      <c r="C256" s="25"/>
      <c r="D256" s="25"/>
      <c r="E256" s="35"/>
      <c r="F256" s="35"/>
    </row>
    <row r="257" spans="1:6" x14ac:dyDescent="0.3">
      <c r="A257" s="25"/>
      <c r="B257" s="25"/>
      <c r="C257" s="25"/>
      <c r="D257" s="25"/>
      <c r="E257" s="35"/>
      <c r="F257" s="35"/>
    </row>
    <row r="258" spans="1:6" x14ac:dyDescent="0.3">
      <c r="A258" s="25"/>
      <c r="B258" s="25"/>
      <c r="C258" s="25"/>
      <c r="D258" s="25"/>
      <c r="E258" s="35"/>
      <c r="F258" s="35"/>
    </row>
    <row r="259" spans="1:6" x14ac:dyDescent="0.3">
      <c r="A259" s="25"/>
      <c r="B259" s="25"/>
      <c r="C259" s="25"/>
      <c r="D259" s="25"/>
      <c r="E259" s="35"/>
      <c r="F259" s="35"/>
    </row>
    <row r="260" spans="1:6" x14ac:dyDescent="0.3">
      <c r="A260" s="25"/>
      <c r="B260" s="25"/>
      <c r="C260" s="25"/>
      <c r="D260" s="127"/>
      <c r="E260" s="35"/>
      <c r="F260" s="35"/>
    </row>
    <row r="261" spans="1:6" x14ac:dyDescent="0.3">
      <c r="A261" s="25"/>
      <c r="B261" s="25"/>
      <c r="C261" s="25"/>
      <c r="D261" s="127"/>
      <c r="E261" s="35"/>
      <c r="F261" s="35"/>
    </row>
    <row r="262" spans="1:6" x14ac:dyDescent="0.3">
      <c r="A262" s="25"/>
      <c r="B262" s="25"/>
      <c r="C262" s="25"/>
      <c r="D262" s="25"/>
      <c r="E262" s="35"/>
      <c r="F262" s="35"/>
    </row>
    <row r="263" spans="1:6" x14ac:dyDescent="0.3">
      <c r="A263" s="25"/>
      <c r="B263" s="27"/>
      <c r="C263" s="27"/>
      <c r="D263" s="27"/>
      <c r="E263" s="38"/>
      <c r="F263" s="38"/>
    </row>
    <row r="264" spans="1:6" x14ac:dyDescent="0.3">
      <c r="A264" s="25"/>
      <c r="B264" s="27"/>
      <c r="C264" s="27"/>
      <c r="D264" s="27"/>
      <c r="E264" s="38"/>
      <c r="F264" s="38"/>
    </row>
    <row r="265" spans="1:6" x14ac:dyDescent="0.3">
      <c r="A265" s="25"/>
      <c r="B265" s="27"/>
      <c r="C265" s="27"/>
      <c r="D265" s="27"/>
      <c r="E265" s="38"/>
      <c r="F265" s="38"/>
    </row>
    <row r="266" spans="1:6" x14ac:dyDescent="0.3">
      <c r="A266" s="25"/>
      <c r="B266" s="27"/>
      <c r="C266" s="27"/>
      <c r="D266" s="27"/>
      <c r="E266" s="38"/>
      <c r="F266" s="38"/>
    </row>
    <row r="267" spans="1:6" x14ac:dyDescent="0.3">
      <c r="A267" s="25"/>
      <c r="B267" s="27"/>
      <c r="C267" s="27"/>
      <c r="D267" s="27"/>
      <c r="E267" s="38"/>
      <c r="F267" s="38"/>
    </row>
    <row r="268" spans="1:6" x14ac:dyDescent="0.3">
      <c r="A268" s="25"/>
      <c r="B268" s="27"/>
      <c r="C268" s="27"/>
      <c r="D268" s="27"/>
      <c r="E268" s="38"/>
      <c r="F268" s="38"/>
    </row>
    <row r="269" spans="1:6" x14ac:dyDescent="0.3">
      <c r="A269" s="25"/>
      <c r="B269" s="27"/>
      <c r="C269" s="27"/>
      <c r="D269" s="27"/>
      <c r="E269" s="38"/>
      <c r="F269" s="38"/>
    </row>
    <row r="270" spans="1:6" x14ac:dyDescent="0.3">
      <c r="A270" s="25"/>
      <c r="B270" s="27"/>
      <c r="C270" s="27"/>
      <c r="D270" s="27"/>
      <c r="E270" s="38"/>
      <c r="F270" s="38"/>
    </row>
    <row r="271" spans="1:6" x14ac:dyDescent="0.3">
      <c r="A271" s="25"/>
      <c r="B271" s="27"/>
      <c r="C271" s="27"/>
      <c r="D271" s="27"/>
      <c r="E271" s="38"/>
      <c r="F271" s="38"/>
    </row>
    <row r="272" spans="1:6" x14ac:dyDescent="0.3">
      <c r="A272" s="25"/>
      <c r="B272" s="27"/>
      <c r="C272" s="27"/>
      <c r="D272" s="27"/>
      <c r="E272" s="38"/>
      <c r="F272" s="38"/>
    </row>
    <row r="273" spans="1:6" x14ac:dyDescent="0.3">
      <c r="A273" s="25"/>
      <c r="B273" s="27"/>
      <c r="C273" s="27"/>
      <c r="D273" s="27"/>
      <c r="E273" s="38"/>
      <c r="F273" s="38"/>
    </row>
    <row r="274" spans="1:6" x14ac:dyDescent="0.3">
      <c r="A274" s="25"/>
      <c r="B274" s="25"/>
      <c r="C274" s="25"/>
      <c r="D274" s="25"/>
      <c r="E274" s="40"/>
      <c r="F274" s="35"/>
    </row>
    <row r="275" spans="1:6" x14ac:dyDescent="0.3">
      <c r="A275" s="25"/>
      <c r="B275" s="25"/>
      <c r="C275" s="25"/>
      <c r="D275" s="25"/>
      <c r="E275" s="35"/>
      <c r="F275" s="35"/>
    </row>
    <row r="276" spans="1:6" x14ac:dyDescent="0.3">
      <c r="A276" s="25"/>
      <c r="B276" s="25"/>
      <c r="C276" s="25"/>
      <c r="D276" s="25"/>
      <c r="E276" s="35"/>
      <c r="F276" s="35"/>
    </row>
    <row r="277" spans="1:6" x14ac:dyDescent="0.3">
      <c r="A277" s="25"/>
      <c r="B277" s="25"/>
      <c r="C277" s="25"/>
      <c r="D277" s="25"/>
      <c r="E277" s="35"/>
      <c r="F277" s="35"/>
    </row>
    <row r="278" spans="1:6" ht="21" x14ac:dyDescent="0.4">
      <c r="A278" s="25"/>
      <c r="B278" s="125"/>
      <c r="C278" s="125"/>
      <c r="D278" s="125"/>
      <c r="E278" s="125"/>
      <c r="F278" s="126"/>
    </row>
    <row r="279" spans="1:6" x14ac:dyDescent="0.3">
      <c r="A279" s="25"/>
      <c r="B279" s="25"/>
      <c r="C279" s="25"/>
      <c r="D279" s="25"/>
      <c r="E279" s="25"/>
      <c r="F279" s="38"/>
    </row>
    <row r="280" spans="1:6" ht="21" x14ac:dyDescent="0.4">
      <c r="A280" s="125"/>
      <c r="B280" s="25"/>
      <c r="C280" s="25"/>
      <c r="D280" s="25"/>
      <c r="E280" s="25"/>
      <c r="F280" s="38"/>
    </row>
    <row r="281" spans="1:6" x14ac:dyDescent="0.3">
      <c r="A281" s="78"/>
      <c r="B281" s="25"/>
      <c r="C281" s="25"/>
      <c r="D281" s="25"/>
      <c r="E281" s="25"/>
      <c r="F281" s="38"/>
    </row>
    <row r="282" spans="1:6" x14ac:dyDescent="0.3">
      <c r="A282" s="78"/>
      <c r="B282" s="25"/>
      <c r="C282" s="25"/>
      <c r="D282" s="25"/>
      <c r="E282" s="25"/>
      <c r="F282" s="35"/>
    </row>
    <row r="283" spans="1:6" x14ac:dyDescent="0.3">
      <c r="A283" s="78"/>
      <c r="B283" s="25"/>
      <c r="C283" s="25"/>
      <c r="D283" s="25"/>
      <c r="E283" s="25"/>
      <c r="F283" s="38"/>
    </row>
    <row r="284" spans="1:6" x14ac:dyDescent="0.3">
      <c r="A284" s="78"/>
      <c r="B284" s="25"/>
      <c r="C284" s="25"/>
      <c r="D284" s="25"/>
      <c r="E284" s="25"/>
      <c r="F284" s="38"/>
    </row>
    <row r="285" spans="1:6" x14ac:dyDescent="0.3">
      <c r="A285" s="78"/>
      <c r="B285" s="25"/>
      <c r="C285" s="25"/>
      <c r="D285" s="25"/>
      <c r="E285" s="25"/>
      <c r="F285" s="35"/>
    </row>
    <row r="286" spans="1:6" x14ac:dyDescent="0.3">
      <c r="A286" s="78"/>
      <c r="B286" s="25"/>
      <c r="C286" s="25"/>
      <c r="D286" s="25"/>
      <c r="E286" s="25"/>
      <c r="F286" s="38"/>
    </row>
    <row r="287" spans="1:6" x14ac:dyDescent="0.3">
      <c r="A287" s="78"/>
      <c r="B287" s="25"/>
      <c r="C287" s="25"/>
      <c r="D287" s="25"/>
      <c r="E287" s="25"/>
      <c r="F287" s="38"/>
    </row>
    <row r="288" spans="1:6" x14ac:dyDescent="0.3">
      <c r="A288" s="78"/>
      <c r="B288" s="25"/>
      <c r="C288" s="25"/>
      <c r="D288" s="25"/>
      <c r="E288" s="25"/>
      <c r="F288" s="38"/>
    </row>
    <row r="289" spans="1:6" x14ac:dyDescent="0.3">
      <c r="A289" s="78"/>
      <c r="B289" s="25"/>
      <c r="C289" s="25"/>
      <c r="D289" s="25"/>
      <c r="E289" s="25"/>
      <c r="F289" s="38"/>
    </row>
    <row r="290" spans="1:6" x14ac:dyDescent="0.3">
      <c r="A290" s="78"/>
      <c r="B290" s="25"/>
      <c r="C290" s="25"/>
      <c r="D290" s="25"/>
      <c r="E290" s="25"/>
      <c r="F290" s="38"/>
    </row>
    <row r="291" spans="1:6" x14ac:dyDescent="0.3">
      <c r="A291" s="78"/>
      <c r="B291" s="25"/>
      <c r="C291" s="25"/>
      <c r="D291" s="25"/>
      <c r="E291" s="25"/>
      <c r="F291" s="38"/>
    </row>
    <row r="292" spans="1:6" x14ac:dyDescent="0.3">
      <c r="A292" s="78"/>
      <c r="B292" s="25"/>
      <c r="C292" s="25"/>
      <c r="D292" s="25"/>
      <c r="E292" s="25"/>
      <c r="F292" s="38"/>
    </row>
    <row r="293" spans="1:6" x14ac:dyDescent="0.3">
      <c r="A293" s="78"/>
      <c r="B293" s="25"/>
      <c r="C293" s="25"/>
      <c r="D293" s="25"/>
      <c r="E293" s="25"/>
      <c r="F293" s="38"/>
    </row>
    <row r="294" spans="1:6" x14ac:dyDescent="0.3">
      <c r="A294" s="78"/>
      <c r="B294" s="25"/>
      <c r="C294" s="25"/>
      <c r="D294" s="25"/>
      <c r="E294" s="25"/>
      <c r="F294" s="38"/>
    </row>
    <row r="295" spans="1:6" x14ac:dyDescent="0.3">
      <c r="A295" s="78"/>
      <c r="B295" s="25"/>
      <c r="C295" s="25"/>
      <c r="D295" s="25"/>
      <c r="E295" s="25"/>
      <c r="F295" s="38"/>
    </row>
    <row r="296" spans="1:6" x14ac:dyDescent="0.3">
      <c r="A296" s="78"/>
      <c r="B296" s="25"/>
      <c r="C296" s="25"/>
      <c r="D296" s="25"/>
      <c r="E296" s="25"/>
      <c r="F296" s="38"/>
    </row>
    <row r="297" spans="1:6" x14ac:dyDescent="0.3">
      <c r="A297" s="78"/>
      <c r="B297" s="25"/>
      <c r="C297" s="25"/>
      <c r="D297" s="25"/>
      <c r="E297" s="25"/>
      <c r="F297" s="38"/>
    </row>
    <row r="298" spans="1:6" x14ac:dyDescent="0.3">
      <c r="A298" s="78"/>
      <c r="B298" s="25"/>
      <c r="C298" s="25"/>
      <c r="D298" s="25"/>
      <c r="E298" s="25"/>
      <c r="F298" s="38"/>
    </row>
    <row r="299" spans="1:6" x14ac:dyDescent="0.3">
      <c r="A299" s="78"/>
      <c r="B299" s="25"/>
      <c r="C299" s="25"/>
      <c r="D299" s="25"/>
      <c r="E299" s="25"/>
      <c r="F299" s="38"/>
    </row>
    <row r="300" spans="1:6" x14ac:dyDescent="0.3">
      <c r="A300" s="78"/>
      <c r="B300" s="25"/>
      <c r="C300" s="25"/>
      <c r="D300" s="25"/>
      <c r="E300" s="25"/>
      <c r="F300" s="38"/>
    </row>
    <row r="301" spans="1:6" x14ac:dyDescent="0.3">
      <c r="A301" s="78"/>
      <c r="B301" s="25"/>
      <c r="C301" s="25"/>
      <c r="D301" s="25"/>
      <c r="E301" s="25"/>
      <c r="F301" s="38"/>
    </row>
    <row r="302" spans="1:6" x14ac:dyDescent="0.3">
      <c r="A302" s="78"/>
      <c r="B302" s="25"/>
      <c r="C302" s="25"/>
      <c r="D302" s="25"/>
      <c r="E302" s="25"/>
      <c r="F302" s="38"/>
    </row>
    <row r="303" spans="1:6" x14ac:dyDescent="0.3">
      <c r="A303" s="78"/>
      <c r="B303" s="25"/>
      <c r="C303" s="25"/>
      <c r="D303" s="25"/>
      <c r="E303" s="25"/>
      <c r="F303" s="38"/>
    </row>
    <row r="304" spans="1:6" x14ac:dyDescent="0.3">
      <c r="A304" s="78"/>
      <c r="B304" s="25"/>
      <c r="C304" s="25"/>
      <c r="D304" s="25"/>
      <c r="E304" s="25"/>
      <c r="F304" s="38"/>
    </row>
    <row r="305" spans="1:6" x14ac:dyDescent="0.3">
      <c r="A305" s="78"/>
      <c r="B305" s="25"/>
      <c r="C305" s="25"/>
      <c r="D305" s="25"/>
      <c r="E305" s="25"/>
      <c r="F305" s="38"/>
    </row>
    <row r="306" spans="1:6" x14ac:dyDescent="0.3">
      <c r="A306" s="78"/>
      <c r="B306" s="25"/>
      <c r="C306" s="25"/>
      <c r="D306" s="25"/>
      <c r="E306" s="25"/>
      <c r="F306" s="35"/>
    </row>
    <row r="307" spans="1:6" x14ac:dyDescent="0.3">
      <c r="A307" s="78"/>
      <c r="B307" s="25"/>
      <c r="C307" s="25"/>
      <c r="D307" s="25"/>
      <c r="E307" s="25"/>
      <c r="F307" s="35"/>
    </row>
    <row r="308" spans="1:6" x14ac:dyDescent="0.3">
      <c r="A308" s="78"/>
      <c r="B308" s="25"/>
      <c r="C308" s="25"/>
      <c r="D308" s="25"/>
      <c r="E308" s="25"/>
      <c r="F308" s="35"/>
    </row>
    <row r="309" spans="1:6" x14ac:dyDescent="0.3">
      <c r="A309" s="78"/>
      <c r="B309" s="25"/>
      <c r="C309" s="25"/>
      <c r="D309" s="25"/>
      <c r="E309" s="25"/>
      <c r="F309" s="35"/>
    </row>
    <row r="310" spans="1:6" x14ac:dyDescent="0.3">
      <c r="A310" s="78"/>
      <c r="B310" s="25"/>
      <c r="C310" s="25"/>
      <c r="D310" s="25"/>
      <c r="E310" s="25"/>
      <c r="F310" s="35"/>
    </row>
    <row r="311" spans="1:6" x14ac:dyDescent="0.3">
      <c r="A311" s="78"/>
      <c r="B311" s="25"/>
      <c r="C311" s="25"/>
      <c r="D311" s="25"/>
      <c r="E311" s="25"/>
      <c r="F311" s="35"/>
    </row>
    <row r="312" spans="1:6" x14ac:dyDescent="0.3">
      <c r="A312" s="78"/>
      <c r="B312" s="25"/>
      <c r="C312" s="25"/>
      <c r="D312" s="25"/>
      <c r="E312" s="25"/>
      <c r="F312" s="35"/>
    </row>
    <row r="313" spans="1:6" x14ac:dyDescent="0.3">
      <c r="A313" s="78"/>
      <c r="B313" s="25"/>
      <c r="C313" s="25"/>
      <c r="D313" s="25"/>
      <c r="E313" s="25"/>
      <c r="F313" s="35"/>
    </row>
    <row r="314" spans="1:6" x14ac:dyDescent="0.3">
      <c r="A314" s="128"/>
      <c r="B314" s="25"/>
      <c r="C314" s="25"/>
      <c r="D314" s="25"/>
      <c r="E314" s="25"/>
      <c r="F314" s="35"/>
    </row>
    <row r="315" spans="1:6" x14ac:dyDescent="0.3">
      <c r="A315" s="95"/>
      <c r="B315" s="25"/>
      <c r="C315" s="25"/>
      <c r="D315" s="25"/>
      <c r="E315" s="25"/>
      <c r="F315" s="35"/>
    </row>
    <row r="316" spans="1:6" x14ac:dyDescent="0.3">
      <c r="A316" s="95"/>
      <c r="B316" s="25"/>
      <c r="C316" s="25"/>
      <c r="D316" s="25"/>
      <c r="E316" s="25"/>
      <c r="F316" s="35"/>
    </row>
    <row r="317" spans="1:6" x14ac:dyDescent="0.3">
      <c r="A317" s="95"/>
      <c r="B317" s="25"/>
      <c r="C317" s="25"/>
      <c r="D317" s="25"/>
      <c r="E317" s="25"/>
      <c r="F317" s="35"/>
    </row>
    <row r="318" spans="1:6" x14ac:dyDescent="0.3">
      <c r="A318" s="95"/>
      <c r="B318" s="25"/>
      <c r="C318" s="25"/>
      <c r="D318" s="25"/>
      <c r="E318" s="25"/>
      <c r="F318" s="35"/>
    </row>
    <row r="319" spans="1:6" x14ac:dyDescent="0.3">
      <c r="A319" s="95"/>
      <c r="B319" s="25"/>
      <c r="C319" s="25"/>
      <c r="D319" s="25"/>
      <c r="E319" s="25"/>
      <c r="F319" s="35"/>
    </row>
    <row r="320" spans="1:6" x14ac:dyDescent="0.3">
      <c r="A320" s="95"/>
      <c r="B320" s="25"/>
      <c r="C320" s="25"/>
      <c r="D320" s="25"/>
      <c r="E320" s="25"/>
      <c r="F320" s="35"/>
    </row>
    <row r="321" spans="1:6" x14ac:dyDescent="0.3">
      <c r="A321" s="78"/>
      <c r="B321" s="25"/>
      <c r="C321" s="25"/>
      <c r="D321" s="25"/>
      <c r="E321" s="25"/>
      <c r="F321" s="35"/>
    </row>
    <row r="322" spans="1:6" x14ac:dyDescent="0.3">
      <c r="A322" s="78"/>
      <c r="B322" s="25"/>
      <c r="C322" s="25"/>
      <c r="D322" s="25"/>
      <c r="E322" s="25"/>
      <c r="F322" s="35"/>
    </row>
    <row r="323" spans="1:6" x14ac:dyDescent="0.3">
      <c r="A323" s="78"/>
      <c r="B323" s="25"/>
      <c r="C323" s="25"/>
      <c r="D323" s="25"/>
      <c r="E323" s="25"/>
      <c r="F323" s="35"/>
    </row>
    <row r="324" spans="1:6" x14ac:dyDescent="0.3">
      <c r="A324" s="78"/>
      <c r="B324" s="25"/>
      <c r="C324" s="25"/>
      <c r="D324" s="25"/>
      <c r="E324" s="25"/>
      <c r="F324" s="35"/>
    </row>
    <row r="325" spans="1:6" x14ac:dyDescent="0.3">
      <c r="A325" s="78"/>
      <c r="B325" s="25"/>
      <c r="C325" s="25"/>
      <c r="D325" s="25"/>
      <c r="E325" s="25"/>
      <c r="F325" s="35"/>
    </row>
    <row r="326" spans="1:6" x14ac:dyDescent="0.3">
      <c r="A326" s="78"/>
      <c r="B326" s="25"/>
      <c r="C326" s="25"/>
      <c r="D326" s="25"/>
      <c r="E326" s="25"/>
      <c r="F326" s="35"/>
    </row>
    <row r="327" spans="1:6" x14ac:dyDescent="0.3">
      <c r="A327" s="78"/>
      <c r="B327" s="25"/>
      <c r="C327" s="25"/>
      <c r="D327" s="25"/>
      <c r="E327" s="25"/>
      <c r="F327" s="35"/>
    </row>
    <row r="328" spans="1:6" x14ac:dyDescent="0.3">
      <c r="A328" s="78"/>
      <c r="B328" s="25"/>
      <c r="C328" s="25"/>
      <c r="D328" s="25"/>
      <c r="E328" s="25"/>
      <c r="F328" s="35"/>
    </row>
    <row r="329" spans="1:6" x14ac:dyDescent="0.3">
      <c r="A329" s="78"/>
      <c r="B329" s="25"/>
      <c r="C329" s="25"/>
      <c r="D329" s="25"/>
      <c r="E329" s="25"/>
      <c r="F329" s="35"/>
    </row>
    <row r="330" spans="1:6" x14ac:dyDescent="0.3">
      <c r="A330" s="78"/>
      <c r="B330" s="25"/>
      <c r="C330" s="25"/>
      <c r="D330" s="25"/>
      <c r="E330" s="25"/>
      <c r="F330" s="35"/>
    </row>
    <row r="331" spans="1:6" x14ac:dyDescent="0.3">
      <c r="A331" s="78"/>
      <c r="B331" s="25"/>
      <c r="C331" s="25"/>
      <c r="D331" s="25"/>
      <c r="E331" s="25"/>
      <c r="F331" s="35"/>
    </row>
    <row r="332" spans="1:6" x14ac:dyDescent="0.3">
      <c r="A332" s="78"/>
      <c r="B332" s="25"/>
      <c r="C332" s="25"/>
      <c r="D332" s="25"/>
      <c r="E332" s="25"/>
      <c r="F332" s="35"/>
    </row>
    <row r="333" spans="1:6" x14ac:dyDescent="0.3">
      <c r="A333" s="78"/>
      <c r="B333" s="25"/>
      <c r="C333" s="25"/>
      <c r="D333" s="25"/>
      <c r="E333" s="25"/>
      <c r="F333" s="35"/>
    </row>
    <row r="334" spans="1:6" x14ac:dyDescent="0.3">
      <c r="A334" s="78"/>
      <c r="B334" s="25"/>
      <c r="C334" s="25"/>
      <c r="D334" s="25"/>
      <c r="E334" s="25"/>
      <c r="F334" s="35"/>
    </row>
    <row r="335" spans="1:6" x14ac:dyDescent="0.3">
      <c r="A335" s="78"/>
      <c r="B335" s="25"/>
      <c r="C335" s="25"/>
      <c r="D335" s="25"/>
      <c r="E335" s="25"/>
      <c r="F335" s="35"/>
    </row>
    <row r="336" spans="1:6" x14ac:dyDescent="0.3">
      <c r="A336" s="78"/>
      <c r="B336" s="25"/>
      <c r="C336" s="25"/>
      <c r="D336" s="25"/>
      <c r="E336" s="25"/>
      <c r="F336" s="35"/>
    </row>
    <row r="337" spans="1:6" x14ac:dyDescent="0.3">
      <c r="A337" s="78"/>
      <c r="B337" s="25"/>
      <c r="C337" s="25"/>
      <c r="D337" s="25"/>
      <c r="E337" s="25"/>
      <c r="F337" s="35"/>
    </row>
    <row r="338" spans="1:6" x14ac:dyDescent="0.3">
      <c r="A338" s="78"/>
      <c r="B338" s="25"/>
      <c r="C338" s="25"/>
      <c r="D338" s="25"/>
      <c r="E338" s="25"/>
      <c r="F338" s="35"/>
    </row>
    <row r="339" spans="1:6" x14ac:dyDescent="0.3">
      <c r="A339" s="78"/>
      <c r="B339" s="25"/>
      <c r="C339" s="25"/>
      <c r="D339" s="25"/>
      <c r="E339" s="25"/>
      <c r="F339" s="35"/>
    </row>
    <row r="340" spans="1:6" x14ac:dyDescent="0.3">
      <c r="A340" s="78"/>
      <c r="B340" s="25"/>
      <c r="C340" s="25"/>
      <c r="D340" s="25"/>
      <c r="E340" s="25"/>
      <c r="F340" s="35"/>
    </row>
    <row r="341" spans="1:6" x14ac:dyDescent="0.3">
      <c r="A341" s="78"/>
      <c r="B341" s="25"/>
      <c r="C341" s="25"/>
      <c r="D341" s="25"/>
      <c r="E341" s="25"/>
      <c r="F341" s="35"/>
    </row>
    <row r="342" spans="1:6" x14ac:dyDescent="0.3">
      <c r="A342" s="78"/>
      <c r="B342" s="25"/>
      <c r="C342" s="25"/>
      <c r="D342" s="25"/>
      <c r="E342" s="25"/>
      <c r="F342" s="35"/>
    </row>
    <row r="343" spans="1:6" x14ac:dyDescent="0.3">
      <c r="A343" s="78"/>
      <c r="B343" s="25"/>
      <c r="C343" s="25"/>
      <c r="D343" s="25"/>
      <c r="E343" s="25"/>
      <c r="F343" s="35"/>
    </row>
    <row r="344" spans="1:6" x14ac:dyDescent="0.3">
      <c r="A344" s="78"/>
      <c r="B344" s="25"/>
      <c r="C344" s="25"/>
      <c r="D344" s="25"/>
      <c r="E344" s="25"/>
      <c r="F344" s="35"/>
    </row>
    <row r="345" spans="1:6" x14ac:dyDescent="0.3">
      <c r="A345" s="78"/>
      <c r="B345" s="25"/>
      <c r="C345" s="25"/>
      <c r="D345" s="25"/>
      <c r="E345" s="25"/>
      <c r="F345" s="35"/>
    </row>
    <row r="346" spans="1:6" x14ac:dyDescent="0.3">
      <c r="A346" s="78"/>
      <c r="B346" s="25"/>
      <c r="C346" s="25"/>
      <c r="D346" s="25"/>
      <c r="E346" s="25"/>
      <c r="F346" s="35"/>
    </row>
    <row r="347" spans="1:6" x14ac:dyDescent="0.3">
      <c r="A347" s="78"/>
      <c r="B347" s="25"/>
      <c r="C347" s="25"/>
      <c r="D347" s="25"/>
      <c r="E347" s="25"/>
      <c r="F347" s="35"/>
    </row>
    <row r="348" spans="1:6" x14ac:dyDescent="0.3">
      <c r="A348" s="78"/>
      <c r="B348" s="25"/>
      <c r="C348" s="25"/>
      <c r="D348" s="25"/>
      <c r="E348" s="25"/>
      <c r="F348" s="35"/>
    </row>
    <row r="349" spans="1:6" x14ac:dyDescent="0.3">
      <c r="A349" s="78"/>
      <c r="E349"/>
    </row>
    <row r="350" spans="1:6" x14ac:dyDescent="0.3">
      <c r="A350" s="25"/>
      <c r="E350"/>
      <c r="F350" s="32">
        <f>SUM(F279:F349)</f>
        <v>0</v>
      </c>
    </row>
    <row r="351" spans="1:6" x14ac:dyDescent="0.3">
      <c r="E351"/>
    </row>
  </sheetData>
  <sortState xmlns:xlrd2="http://schemas.microsoft.com/office/spreadsheetml/2017/richdata2" ref="A3:F118">
    <sortCondition descending="1" ref="E3:E118"/>
  </sortState>
  <pageMargins left="0.25" right="0.25" top="0.75" bottom="0.75" header="0.3" footer="0.3"/>
  <pageSetup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74"/>
  <sheetViews>
    <sheetView zoomScale="121" zoomScaleNormal="85" workbookViewId="0">
      <selection activeCell="A118" sqref="A1:XFD1048576"/>
    </sheetView>
  </sheetViews>
  <sheetFormatPr defaultRowHeight="14.4" x14ac:dyDescent="0.3"/>
  <cols>
    <col min="1" max="1" width="16.109375" customWidth="1"/>
    <col min="2" max="2" width="18.5546875" customWidth="1"/>
    <col min="3" max="3" width="35.77734375" customWidth="1"/>
    <col min="4" max="4" width="17.88671875" customWidth="1"/>
    <col min="5" max="5" width="14.109375" customWidth="1"/>
    <col min="6" max="6" width="19.109375" style="8" customWidth="1"/>
    <col min="7" max="7" width="20.77734375" style="8" customWidth="1"/>
    <col min="9" max="9" width="16.5546875" customWidth="1"/>
    <col min="10" max="10" width="23.33203125" customWidth="1"/>
    <col min="11" max="11" width="12.33203125" customWidth="1"/>
    <col min="12" max="12" width="28.109375" customWidth="1"/>
    <col min="13" max="13" width="18" customWidth="1"/>
    <col min="14" max="14" width="13.33203125" customWidth="1"/>
    <col min="15" max="15" width="14.21875" customWidth="1"/>
    <col min="16" max="16" width="15" customWidth="1"/>
  </cols>
  <sheetData>
    <row r="1" spans="1:17" s="3" customFormat="1" ht="21" x14ac:dyDescent="0.4">
      <c r="A1" s="150"/>
      <c r="B1" s="150"/>
      <c r="C1" s="150"/>
      <c r="D1" s="150"/>
      <c r="E1" s="150"/>
      <c r="F1" s="49"/>
      <c r="G1" s="49"/>
      <c r="K1" s="4"/>
      <c r="L1" s="4"/>
      <c r="M1" s="4"/>
      <c r="N1" s="4"/>
      <c r="O1" s="4"/>
      <c r="P1" s="4"/>
      <c r="Q1" s="4"/>
    </row>
    <row r="2" spans="1:17" ht="15.6" x14ac:dyDescent="0.3">
      <c r="A2" s="50"/>
      <c r="B2" s="51"/>
      <c r="C2" s="51"/>
      <c r="D2" s="51"/>
      <c r="E2" s="51"/>
      <c r="F2" s="52"/>
      <c r="G2" s="52"/>
      <c r="K2" s="9"/>
      <c r="Q2" s="8"/>
    </row>
    <row r="3" spans="1:17" ht="15.6" x14ac:dyDescent="0.3">
      <c r="A3" s="50"/>
      <c r="B3" s="51"/>
      <c r="C3" s="51"/>
      <c r="D3" s="51"/>
      <c r="E3" s="51"/>
      <c r="F3" s="52"/>
      <c r="G3" s="52"/>
      <c r="K3" s="9"/>
      <c r="Q3" s="8"/>
    </row>
    <row r="4" spans="1:17" ht="15.6" x14ac:dyDescent="0.3">
      <c r="A4" s="50"/>
      <c r="B4" s="51"/>
      <c r="C4" s="51"/>
      <c r="D4" s="51"/>
      <c r="E4" s="51"/>
      <c r="F4" s="52"/>
      <c r="G4" s="52"/>
      <c r="K4" s="9"/>
      <c r="Q4" s="8"/>
    </row>
    <row r="5" spans="1:17" ht="15.6" x14ac:dyDescent="0.3">
      <c r="A5" s="50"/>
      <c r="B5" s="51"/>
      <c r="C5" s="51"/>
      <c r="D5" s="51"/>
      <c r="E5" s="51"/>
      <c r="F5" s="52"/>
      <c r="G5" s="52"/>
      <c r="K5" s="9"/>
      <c r="Q5" s="8"/>
    </row>
    <row r="6" spans="1:17" ht="15.6" x14ac:dyDescent="0.3">
      <c r="A6" s="30"/>
      <c r="B6" s="51"/>
      <c r="C6" s="21"/>
      <c r="D6" s="21"/>
      <c r="E6" s="21"/>
      <c r="F6" s="17"/>
      <c r="G6" s="17"/>
      <c r="K6" s="9"/>
      <c r="Q6" s="8"/>
    </row>
    <row r="7" spans="1:17" ht="15.6" x14ac:dyDescent="0.3">
      <c r="A7" s="30"/>
      <c r="B7" s="51"/>
      <c r="C7" s="21"/>
      <c r="D7" s="21"/>
      <c r="E7" s="21"/>
      <c r="F7" s="17"/>
      <c r="G7" s="17"/>
      <c r="K7" s="9"/>
      <c r="Q7" s="8"/>
    </row>
    <row r="8" spans="1:17" ht="15.6" x14ac:dyDescent="0.3">
      <c r="A8" s="83"/>
      <c r="B8" s="84"/>
      <c r="C8" s="84"/>
      <c r="D8" s="84"/>
      <c r="E8" s="84"/>
      <c r="F8" s="85"/>
      <c r="G8" s="85"/>
      <c r="K8" s="9"/>
      <c r="Q8" s="8"/>
    </row>
    <row r="9" spans="1:17" ht="15.6" x14ac:dyDescent="0.3">
      <c r="A9" s="36"/>
      <c r="B9" s="84"/>
      <c r="C9" s="37"/>
      <c r="D9" s="37"/>
      <c r="E9" s="37"/>
      <c r="F9" s="19"/>
      <c r="G9" s="19"/>
      <c r="Q9" s="8"/>
    </row>
    <row r="10" spans="1:17" x14ac:dyDescent="0.3">
      <c r="A10" s="9"/>
      <c r="Q10" s="8"/>
    </row>
    <row r="11" spans="1:17" x14ac:dyDescent="0.3">
      <c r="A11" s="9"/>
      <c r="Q11" s="8"/>
    </row>
    <row r="12" spans="1:17" x14ac:dyDescent="0.3">
      <c r="A12" s="9"/>
      <c r="Q12" s="8"/>
    </row>
    <row r="13" spans="1:17" x14ac:dyDescent="0.3">
      <c r="A13" s="9"/>
      <c r="Q13" s="8"/>
    </row>
    <row r="14" spans="1:17" x14ac:dyDescent="0.3">
      <c r="A14" s="9"/>
      <c r="Q14" s="8"/>
    </row>
    <row r="15" spans="1:17" x14ac:dyDescent="0.3">
      <c r="A15" s="9"/>
      <c r="Q15" s="8"/>
    </row>
    <row r="16" spans="1:17" x14ac:dyDescent="0.3">
      <c r="A16" s="9"/>
      <c r="Q16" s="8"/>
    </row>
    <row r="17" spans="9:17" x14ac:dyDescent="0.3">
      <c r="Q17" s="8"/>
    </row>
    <row r="18" spans="9:17" x14ac:dyDescent="0.3">
      <c r="Q18" s="8"/>
    </row>
    <row r="19" spans="9:17" x14ac:dyDescent="0.3">
      <c r="Q19" s="8"/>
    </row>
    <row r="20" spans="9:17" x14ac:dyDescent="0.3">
      <c r="K20" s="9"/>
      <c r="Q20" s="8"/>
    </row>
    <row r="21" spans="9:17" x14ac:dyDescent="0.3">
      <c r="K21" s="9"/>
      <c r="Q21" s="8"/>
    </row>
    <row r="22" spans="9:17" x14ac:dyDescent="0.3">
      <c r="K22" s="9"/>
      <c r="N22" s="20"/>
      <c r="Q22" s="8"/>
    </row>
    <row r="23" spans="9:17" x14ac:dyDescent="0.3">
      <c r="I23" s="86"/>
      <c r="Q23" s="8"/>
    </row>
    <row r="24" spans="9:17" ht="15.6" x14ac:dyDescent="0.3">
      <c r="J24" s="70"/>
      <c r="K24" s="85"/>
      <c r="Q24" s="8"/>
    </row>
    <row r="25" spans="9:17" ht="15.6" x14ac:dyDescent="0.3">
      <c r="J25" s="47"/>
      <c r="K25" s="85"/>
      <c r="Q25" s="8"/>
    </row>
    <row r="26" spans="9:17" ht="15.6" x14ac:dyDescent="0.3">
      <c r="J26" s="57"/>
      <c r="K26" s="85"/>
      <c r="Q26" s="8"/>
    </row>
    <row r="27" spans="9:17" s="73" customFormat="1" ht="15.6" x14ac:dyDescent="0.3">
      <c r="J27" s="7"/>
      <c r="K27" s="85"/>
      <c r="Q27" s="74"/>
    </row>
    <row r="28" spans="9:17" x14ac:dyDescent="0.3">
      <c r="J28" s="58"/>
      <c r="K28" s="19"/>
      <c r="Q28" s="8"/>
    </row>
    <row r="29" spans="9:17" x14ac:dyDescent="0.3">
      <c r="J29" s="7"/>
      <c r="K29" s="19"/>
      <c r="Q29" s="8"/>
    </row>
    <row r="30" spans="9:17" x14ac:dyDescent="0.3">
      <c r="J30" s="7"/>
      <c r="Q30" s="8"/>
    </row>
    <row r="31" spans="9:17" x14ac:dyDescent="0.3">
      <c r="J31" s="7"/>
      <c r="K31" s="14"/>
      <c r="Q31" s="8"/>
    </row>
    <row r="32" spans="9:17" x14ac:dyDescent="0.3">
      <c r="J32" s="7"/>
      <c r="K32" s="81"/>
      <c r="Q32" s="8"/>
    </row>
    <row r="33" spans="1:17" x14ac:dyDescent="0.3">
      <c r="J33" s="7"/>
      <c r="K33" s="91"/>
      <c r="Q33" s="8"/>
    </row>
    <row r="34" spans="1:17" x14ac:dyDescent="0.3">
      <c r="J34" s="7"/>
      <c r="K34" s="14"/>
      <c r="Q34" s="10"/>
    </row>
    <row r="35" spans="1:17" x14ac:dyDescent="0.3">
      <c r="J35" s="7"/>
      <c r="K35" s="13"/>
    </row>
    <row r="36" spans="1:17" x14ac:dyDescent="0.3">
      <c r="J36" s="7"/>
    </row>
    <row r="37" spans="1:17" x14ac:dyDescent="0.3">
      <c r="J37" s="28"/>
      <c r="K37" s="20"/>
    </row>
    <row r="38" spans="1:17" x14ac:dyDescent="0.3">
      <c r="J38" s="7"/>
    </row>
    <row r="39" spans="1:17" x14ac:dyDescent="0.3">
      <c r="J39" s="7"/>
    </row>
    <row r="40" spans="1:17" x14ac:dyDescent="0.3">
      <c r="J40" s="7"/>
    </row>
    <row r="41" spans="1:17" x14ac:dyDescent="0.3">
      <c r="J41" s="7"/>
      <c r="L41" s="20"/>
    </row>
    <row r="42" spans="1:17" x14ac:dyDescent="0.3">
      <c r="J42" s="7"/>
      <c r="L42" s="8"/>
    </row>
    <row r="43" spans="1:17" x14ac:dyDescent="0.3">
      <c r="J43" s="7"/>
      <c r="L43" s="8"/>
    </row>
    <row r="44" spans="1:17" x14ac:dyDescent="0.3">
      <c r="J44" s="7"/>
      <c r="L44" s="20"/>
    </row>
    <row r="45" spans="1:17" x14ac:dyDescent="0.3">
      <c r="J45" s="7"/>
    </row>
    <row r="46" spans="1:17" x14ac:dyDescent="0.3">
      <c r="J46" s="20"/>
    </row>
    <row r="47" spans="1:17" x14ac:dyDescent="0.3">
      <c r="J47" s="20"/>
    </row>
    <row r="48" spans="1:17" x14ac:dyDescent="0.3">
      <c r="A48" s="36"/>
      <c r="B48" s="37"/>
      <c r="C48" s="37"/>
      <c r="D48" s="37"/>
      <c r="E48" s="37"/>
      <c r="F48" s="19"/>
      <c r="G48" s="19"/>
      <c r="J48" s="20"/>
    </row>
    <row r="49" spans="1:16" x14ac:dyDescent="0.3">
      <c r="A49" s="36"/>
      <c r="B49" s="37"/>
      <c r="C49" s="37"/>
      <c r="D49" s="37"/>
      <c r="E49" s="37"/>
      <c r="F49" s="19"/>
      <c r="G49" s="19"/>
      <c r="J49" s="20"/>
    </row>
    <row r="50" spans="1:16" x14ac:dyDescent="0.3">
      <c r="A50" s="36"/>
      <c r="B50" s="37"/>
      <c r="C50" s="37"/>
      <c r="D50" s="37"/>
      <c r="E50" s="37"/>
      <c r="F50" s="19"/>
      <c r="G50" s="19"/>
      <c r="J50" s="20"/>
    </row>
    <row r="51" spans="1:16" x14ac:dyDescent="0.3">
      <c r="A51" s="36"/>
      <c r="B51" s="37"/>
      <c r="C51" s="37"/>
      <c r="D51" s="37"/>
      <c r="E51" s="37"/>
      <c r="F51" s="19"/>
      <c r="G51" s="19"/>
      <c r="J51" s="20"/>
    </row>
    <row r="52" spans="1:16" ht="35.4" customHeight="1" x14ac:dyDescent="0.3">
      <c r="A52" s="36"/>
      <c r="B52" s="37"/>
      <c r="C52" s="37"/>
      <c r="D52" s="37"/>
      <c r="E52" s="12"/>
      <c r="F52" s="19"/>
      <c r="G52" s="19"/>
      <c r="O52" s="7"/>
      <c r="P52" s="8"/>
    </row>
    <row r="53" spans="1:16" ht="31.2" x14ac:dyDescent="0.6">
      <c r="A53" s="5"/>
      <c r="B53" s="51"/>
      <c r="C53" s="93"/>
      <c r="D53" s="21"/>
      <c r="E53" s="1"/>
      <c r="F53" s="7"/>
      <c r="G53" s="7"/>
      <c r="I53" s="76"/>
      <c r="J53" s="76"/>
      <c r="K53" s="76"/>
      <c r="L53" s="76"/>
      <c r="M53" s="76"/>
      <c r="N53" s="77"/>
      <c r="O53" s="77"/>
      <c r="P53" s="20"/>
    </row>
    <row r="54" spans="1:16" x14ac:dyDescent="0.3">
      <c r="A54" s="5"/>
      <c r="B54" s="1"/>
      <c r="C54" s="1"/>
      <c r="D54" s="1"/>
      <c r="E54" s="1"/>
      <c r="F54" s="87"/>
      <c r="G54" s="14"/>
      <c r="I54" s="76"/>
      <c r="J54" s="76"/>
      <c r="K54" s="76"/>
      <c r="L54" s="76"/>
      <c r="M54" s="76"/>
      <c r="N54" s="77"/>
      <c r="O54" s="77"/>
      <c r="P54" s="20"/>
    </row>
    <row r="55" spans="1:16" x14ac:dyDescent="0.3">
      <c r="A55" s="5"/>
      <c r="B55" s="1"/>
      <c r="C55" s="1"/>
      <c r="D55" s="1"/>
      <c r="E55" s="1"/>
      <c r="F55" s="87"/>
      <c r="G55" s="81"/>
      <c r="I55" s="76"/>
      <c r="J55" s="76"/>
      <c r="K55" s="76"/>
      <c r="L55" s="76"/>
      <c r="M55" s="76"/>
      <c r="N55" s="77"/>
      <c r="O55" s="77"/>
      <c r="P55" s="20"/>
    </row>
    <row r="56" spans="1:16" x14ac:dyDescent="0.3">
      <c r="A56" s="78"/>
      <c r="B56" s="25"/>
      <c r="C56" s="25"/>
      <c r="D56" s="25"/>
      <c r="E56" s="1"/>
      <c r="F56" s="89"/>
      <c r="G56" s="91"/>
      <c r="I56" s="76"/>
      <c r="J56" s="76"/>
      <c r="K56" s="76"/>
      <c r="L56" s="76"/>
      <c r="M56" s="76"/>
      <c r="N56" s="77"/>
      <c r="O56" s="77"/>
      <c r="P56" s="20"/>
    </row>
    <row r="57" spans="1:16" x14ac:dyDescent="0.3">
      <c r="A57" s="5"/>
      <c r="B57" s="1"/>
      <c r="C57" s="1"/>
      <c r="D57" s="1"/>
      <c r="E57" s="1"/>
      <c r="F57" s="87"/>
      <c r="G57" s="14"/>
      <c r="I57" s="76"/>
      <c r="J57" s="76"/>
      <c r="K57" s="76"/>
      <c r="L57" s="76"/>
      <c r="M57" s="76"/>
      <c r="N57" s="77"/>
      <c r="O57" s="77"/>
      <c r="P57" s="20"/>
    </row>
    <row r="58" spans="1:16" x14ac:dyDescent="0.3">
      <c r="A58" s="5"/>
      <c r="B58" s="1"/>
      <c r="C58" s="1"/>
      <c r="D58" s="1"/>
      <c r="E58" s="1"/>
      <c r="F58" s="7"/>
      <c r="G58" s="13"/>
      <c r="I58" s="76"/>
      <c r="J58" s="76"/>
      <c r="K58" s="76"/>
      <c r="L58" s="76"/>
      <c r="M58" s="76"/>
      <c r="N58" s="77"/>
      <c r="O58" s="77"/>
      <c r="P58" s="20"/>
    </row>
    <row r="59" spans="1:16" x14ac:dyDescent="0.3">
      <c r="A59" s="5"/>
      <c r="B59" s="1"/>
      <c r="C59" s="1"/>
      <c r="D59" s="1"/>
      <c r="E59" s="1"/>
      <c r="F59" s="7"/>
      <c r="G59" s="13"/>
      <c r="I59" s="76"/>
      <c r="J59" s="76"/>
      <c r="K59" s="76"/>
      <c r="L59" s="76"/>
      <c r="M59" s="76"/>
      <c r="N59" s="77"/>
      <c r="O59" s="77"/>
      <c r="P59" s="20"/>
    </row>
    <row r="60" spans="1:16" x14ac:dyDescent="0.3">
      <c r="A60" s="5"/>
      <c r="B60" s="1"/>
      <c r="C60" s="1"/>
      <c r="D60" s="1"/>
      <c r="E60" s="1"/>
      <c r="F60" s="152"/>
      <c r="G60" s="13"/>
      <c r="I60" s="76"/>
      <c r="J60" s="76"/>
      <c r="K60" s="76"/>
      <c r="L60" s="76"/>
      <c r="M60" s="76"/>
      <c r="N60" s="77"/>
      <c r="O60" s="77"/>
      <c r="P60" s="20"/>
    </row>
    <row r="61" spans="1:16" x14ac:dyDescent="0.3">
      <c r="A61" s="5"/>
      <c r="B61" s="1"/>
      <c r="C61" s="1"/>
      <c r="D61" s="1"/>
      <c r="E61" s="1"/>
      <c r="F61" s="87"/>
      <c r="G61" s="14"/>
      <c r="I61" s="76"/>
      <c r="J61" s="76"/>
      <c r="K61" s="76"/>
      <c r="L61" s="76"/>
      <c r="M61" s="76"/>
      <c r="N61" s="77"/>
      <c r="O61" s="77"/>
      <c r="P61" s="20"/>
    </row>
    <row r="62" spans="1:16" x14ac:dyDescent="0.3">
      <c r="A62" s="5"/>
      <c r="B62" s="1"/>
      <c r="C62" s="1"/>
      <c r="D62" s="1"/>
      <c r="E62" s="1"/>
      <c r="F62" s="87"/>
      <c r="G62" s="14"/>
      <c r="I62" s="76"/>
      <c r="J62" s="76"/>
      <c r="K62" s="76"/>
      <c r="L62" s="76"/>
      <c r="M62" s="76"/>
      <c r="N62" s="77"/>
      <c r="O62" s="77"/>
      <c r="P62" s="20"/>
    </row>
    <row r="63" spans="1:16" x14ac:dyDescent="0.3">
      <c r="A63" s="5"/>
      <c r="B63" s="1"/>
      <c r="C63" s="1"/>
      <c r="D63" s="1"/>
      <c r="E63" s="1"/>
      <c r="F63" s="87"/>
      <c r="G63" s="14"/>
      <c r="I63" s="76"/>
      <c r="J63" s="76"/>
      <c r="K63" s="76"/>
      <c r="L63" s="76"/>
      <c r="M63" s="76"/>
      <c r="N63" s="77"/>
      <c r="O63" s="77"/>
      <c r="P63" s="20"/>
    </row>
    <row r="64" spans="1:16" x14ac:dyDescent="0.3">
      <c r="A64" s="5"/>
      <c r="B64" s="5"/>
      <c r="C64" s="1"/>
      <c r="D64" s="1"/>
      <c r="E64" s="1"/>
      <c r="F64" s="87"/>
      <c r="G64" s="13"/>
      <c r="I64" s="76"/>
      <c r="J64" s="76"/>
      <c r="K64" s="76"/>
      <c r="L64" s="76"/>
      <c r="M64" s="76"/>
      <c r="N64" s="77"/>
      <c r="O64" s="77"/>
      <c r="P64" s="20"/>
    </row>
    <row r="65" spans="1:16" x14ac:dyDescent="0.3">
      <c r="A65" s="30"/>
      <c r="B65" s="21"/>
      <c r="C65" s="21"/>
      <c r="D65" s="17"/>
      <c r="E65" s="17"/>
      <c r="F65" s="88"/>
      <c r="G65" s="17"/>
      <c r="I65" s="76"/>
      <c r="J65" s="76"/>
      <c r="K65" s="76"/>
      <c r="L65" s="76"/>
      <c r="M65" s="76"/>
      <c r="N65" s="77"/>
      <c r="O65" s="77"/>
      <c r="P65" s="20"/>
    </row>
    <row r="66" spans="1:16" ht="15.6" x14ac:dyDescent="0.3">
      <c r="A66" s="71"/>
      <c r="B66" s="72"/>
      <c r="C66" s="72"/>
      <c r="D66" s="72"/>
      <c r="E66" s="72"/>
      <c r="F66" s="90"/>
      <c r="G66" s="80"/>
      <c r="I66" s="76"/>
      <c r="J66" s="76"/>
      <c r="K66" s="76"/>
      <c r="L66" s="76"/>
      <c r="M66" s="76"/>
      <c r="N66" s="77"/>
      <c r="O66" s="77"/>
      <c r="P66" s="20"/>
    </row>
    <row r="67" spans="1:16" x14ac:dyDescent="0.3">
      <c r="A67" s="5"/>
      <c r="B67" s="1"/>
      <c r="C67" s="1"/>
      <c r="D67" s="1"/>
      <c r="E67" s="1"/>
      <c r="F67" s="87"/>
      <c r="G67" s="13"/>
      <c r="I67" s="76"/>
      <c r="J67" s="76"/>
      <c r="K67" s="76"/>
      <c r="L67" s="76"/>
      <c r="M67" s="76"/>
      <c r="N67" s="77"/>
      <c r="O67" s="77"/>
      <c r="P67" s="20"/>
    </row>
    <row r="68" spans="1:16" x14ac:dyDescent="0.3">
      <c r="A68" s="5"/>
      <c r="B68" s="1"/>
      <c r="C68" s="1"/>
      <c r="D68" s="1"/>
      <c r="E68" s="1"/>
      <c r="F68" s="87"/>
      <c r="G68" s="14"/>
      <c r="I68" s="76"/>
      <c r="J68" s="76"/>
      <c r="K68" s="76"/>
      <c r="L68" s="76"/>
      <c r="M68" s="76"/>
      <c r="N68" s="77"/>
      <c r="O68" s="77"/>
      <c r="P68" s="20"/>
    </row>
    <row r="69" spans="1:16" x14ac:dyDescent="0.3">
      <c r="A69" s="5"/>
      <c r="B69" s="1"/>
      <c r="C69" s="1"/>
      <c r="D69" s="1"/>
      <c r="E69" s="1"/>
      <c r="F69" s="87"/>
      <c r="G69" s="14"/>
      <c r="I69" s="76"/>
      <c r="J69" s="76"/>
      <c r="K69" s="76"/>
      <c r="L69" s="76"/>
      <c r="M69" s="76"/>
      <c r="N69" s="77"/>
      <c r="O69" s="77"/>
      <c r="P69" s="20"/>
    </row>
    <row r="70" spans="1:16" x14ac:dyDescent="0.3">
      <c r="A70" s="30"/>
      <c r="B70" s="21"/>
      <c r="C70" s="21"/>
      <c r="D70" s="21"/>
      <c r="E70" s="21"/>
      <c r="F70" s="88"/>
      <c r="G70" s="17"/>
      <c r="I70" s="76"/>
      <c r="J70" s="76"/>
      <c r="K70" s="76"/>
      <c r="L70" s="76"/>
      <c r="M70" s="76"/>
      <c r="N70" s="77"/>
      <c r="O70" s="77"/>
      <c r="P70" s="20"/>
    </row>
    <row r="71" spans="1:16" x14ac:dyDescent="0.3">
      <c r="A71" s="5"/>
      <c r="B71" s="1"/>
      <c r="C71" s="1"/>
      <c r="D71" s="1"/>
      <c r="E71" s="1"/>
      <c r="F71" s="87"/>
      <c r="G71" s="14"/>
      <c r="I71" s="76"/>
      <c r="J71" s="76"/>
      <c r="K71" s="76"/>
      <c r="L71" s="76"/>
      <c r="M71" s="76"/>
      <c r="N71" s="77"/>
      <c r="O71" s="77"/>
      <c r="P71" s="20"/>
    </row>
    <row r="72" spans="1:16" x14ac:dyDescent="0.3">
      <c r="A72" s="5"/>
      <c r="B72" s="1"/>
      <c r="C72" s="1"/>
      <c r="D72" s="1"/>
      <c r="E72" s="1"/>
      <c r="F72" s="87"/>
      <c r="G72" s="13"/>
      <c r="I72" s="76"/>
      <c r="J72" s="76"/>
      <c r="K72" s="76"/>
      <c r="L72" s="76"/>
      <c r="M72" s="76"/>
      <c r="N72" s="77"/>
      <c r="O72" s="77"/>
      <c r="P72" s="20"/>
    </row>
    <row r="73" spans="1:16" x14ac:dyDescent="0.3">
      <c r="A73" s="5"/>
      <c r="B73" s="1"/>
      <c r="C73" s="1"/>
      <c r="D73" s="1"/>
      <c r="E73" s="1"/>
      <c r="F73" s="87"/>
      <c r="G73" s="81"/>
      <c r="I73" s="76"/>
      <c r="J73" s="76"/>
      <c r="K73" s="76"/>
      <c r="L73" s="76"/>
      <c r="M73" s="76"/>
      <c r="N73" s="77"/>
      <c r="O73" s="77"/>
      <c r="P73" s="20"/>
    </row>
    <row r="74" spans="1:16" x14ac:dyDescent="0.3">
      <c r="A74" s="30"/>
      <c r="B74" s="21"/>
      <c r="C74" s="21"/>
      <c r="D74" s="17"/>
      <c r="E74" s="17"/>
      <c r="F74" s="88"/>
      <c r="G74" s="17"/>
      <c r="J74" s="79"/>
      <c r="K74" s="79"/>
      <c r="O74" s="77"/>
      <c r="P74" s="8"/>
    </row>
    <row r="75" spans="1:16" x14ac:dyDescent="0.3">
      <c r="A75" s="5"/>
      <c r="B75" s="1"/>
      <c r="C75" s="21"/>
      <c r="D75" s="21"/>
      <c r="E75" s="1"/>
      <c r="F75" s="19"/>
      <c r="G75" s="7"/>
      <c r="O75" s="20"/>
    </row>
    <row r="76" spans="1:16" x14ac:dyDescent="0.3">
      <c r="A76" s="30"/>
      <c r="B76" s="21"/>
      <c r="C76" s="21"/>
      <c r="D76" s="21"/>
      <c r="E76" s="17"/>
      <c r="F76" s="88"/>
      <c r="G76" s="17"/>
      <c r="I76" s="9"/>
      <c r="K76" s="79"/>
      <c r="O76" s="77"/>
    </row>
    <row r="77" spans="1:16" x14ac:dyDescent="0.3">
      <c r="A77" s="30"/>
      <c r="B77" s="21"/>
      <c r="C77" s="21"/>
      <c r="D77" s="21"/>
      <c r="E77" s="21"/>
      <c r="F77" s="88"/>
      <c r="G77" s="17"/>
      <c r="I77" s="48"/>
    </row>
    <row r="78" spans="1:16" x14ac:dyDescent="0.3">
      <c r="A78" s="30"/>
      <c r="B78" s="21"/>
      <c r="C78" s="21"/>
      <c r="D78" s="21"/>
      <c r="E78" s="21"/>
      <c r="F78" s="88"/>
      <c r="G78" s="17"/>
      <c r="I78" s="36"/>
      <c r="J78" s="37"/>
      <c r="K78" s="37"/>
      <c r="L78" s="37"/>
      <c r="M78" s="37"/>
      <c r="N78" s="19"/>
      <c r="O78" s="19"/>
    </row>
    <row r="79" spans="1:16" x14ac:dyDescent="0.3">
      <c r="A79" s="5"/>
      <c r="B79" s="1"/>
      <c r="C79" s="1"/>
      <c r="D79" s="1"/>
      <c r="E79" s="1"/>
      <c r="F79" s="92"/>
      <c r="G79" s="82"/>
      <c r="I79" s="36"/>
      <c r="J79" s="37"/>
      <c r="K79" s="37"/>
      <c r="L79" s="37"/>
      <c r="M79" s="37"/>
      <c r="N79" s="19"/>
      <c r="O79" s="19"/>
    </row>
    <row r="80" spans="1:16" x14ac:dyDescent="0.3">
      <c r="A80" s="30"/>
      <c r="B80" s="21"/>
      <c r="C80" s="21"/>
      <c r="D80" s="21"/>
      <c r="E80" s="21"/>
      <c r="F80" s="99"/>
      <c r="G80" s="38"/>
      <c r="I80" s="36"/>
      <c r="J80" s="37"/>
      <c r="K80" s="37"/>
      <c r="L80" s="37"/>
      <c r="M80" s="37"/>
      <c r="N80" s="19"/>
      <c r="O80" s="19"/>
    </row>
    <row r="81" spans="1:16" ht="15.6" x14ac:dyDescent="0.3">
      <c r="A81" s="5"/>
      <c r="B81" s="51"/>
      <c r="C81" s="21"/>
      <c r="D81" s="21"/>
      <c r="E81" s="1"/>
      <c r="F81" s="87"/>
      <c r="G81" s="14"/>
      <c r="I81" s="36"/>
      <c r="J81" s="37"/>
      <c r="K81" s="37"/>
      <c r="L81" s="37"/>
      <c r="M81" s="37"/>
      <c r="N81" s="19"/>
      <c r="O81" s="19"/>
    </row>
    <row r="82" spans="1:16" x14ac:dyDescent="0.3">
      <c r="A82" s="5"/>
      <c r="B82" s="1"/>
      <c r="C82" s="1"/>
      <c r="D82" s="1"/>
      <c r="E82" s="1"/>
      <c r="F82" s="87"/>
      <c r="G82" s="14"/>
      <c r="I82" s="36"/>
      <c r="J82" s="37"/>
      <c r="K82" s="37"/>
      <c r="L82" s="37"/>
      <c r="M82" s="37"/>
      <c r="N82" s="19"/>
      <c r="O82" s="19"/>
    </row>
    <row r="83" spans="1:16" x14ac:dyDescent="0.3">
      <c r="A83" s="5"/>
      <c r="B83" s="1"/>
      <c r="C83" s="1"/>
      <c r="D83" s="1"/>
      <c r="E83" s="1"/>
      <c r="F83" s="87"/>
      <c r="G83" s="13"/>
      <c r="I83" s="36"/>
      <c r="J83" s="37"/>
      <c r="K83" s="37"/>
      <c r="L83" s="37"/>
      <c r="M83" s="37"/>
      <c r="N83" s="19"/>
      <c r="O83" s="19"/>
    </row>
    <row r="84" spans="1:16" x14ac:dyDescent="0.3">
      <c r="A84" s="30"/>
      <c r="B84" s="21"/>
      <c r="C84" s="21"/>
      <c r="D84" s="17"/>
      <c r="E84" s="17"/>
      <c r="F84" s="88"/>
      <c r="G84" s="17"/>
      <c r="I84" s="36"/>
      <c r="J84" s="37"/>
      <c r="K84" s="37"/>
      <c r="L84" s="37"/>
      <c r="M84" s="37"/>
      <c r="N84" s="19"/>
      <c r="O84" s="19"/>
    </row>
    <row r="85" spans="1:16" x14ac:dyDescent="0.3">
      <c r="A85" s="5"/>
      <c r="B85" s="1"/>
      <c r="C85" s="1"/>
      <c r="D85" s="1"/>
      <c r="E85" s="1"/>
      <c r="F85" s="87"/>
      <c r="G85" s="14"/>
      <c r="I85" s="36"/>
      <c r="J85" s="37"/>
      <c r="K85" s="37"/>
      <c r="L85" s="19"/>
      <c r="M85" s="19"/>
      <c r="N85" s="19"/>
      <c r="O85" s="19"/>
    </row>
    <row r="86" spans="1:16" x14ac:dyDescent="0.3">
      <c r="A86" s="95"/>
      <c r="B86" s="27"/>
      <c r="C86" s="96"/>
      <c r="D86" s="97"/>
      <c r="E86" s="38"/>
      <c r="F86" s="38"/>
      <c r="G86" s="38"/>
      <c r="I86" s="36"/>
      <c r="J86" s="37"/>
      <c r="K86" s="37"/>
      <c r="L86" s="19"/>
      <c r="M86" s="19"/>
      <c r="N86" s="19"/>
      <c r="O86" s="19"/>
    </row>
    <row r="87" spans="1:16" x14ac:dyDescent="0.3">
      <c r="A87" s="5"/>
      <c r="B87" s="1"/>
      <c r="C87" s="1"/>
      <c r="D87" s="1"/>
      <c r="E87" s="1"/>
      <c r="F87" s="7"/>
      <c r="G87" s="13"/>
    </row>
    <row r="88" spans="1:16" s="56" customFormat="1" x14ac:dyDescent="0.3">
      <c r="A88" s="5"/>
      <c r="B88" s="1"/>
      <c r="C88" s="1"/>
      <c r="D88" s="1"/>
      <c r="E88" s="1"/>
      <c r="F88" s="7"/>
      <c r="G88" s="14"/>
    </row>
    <row r="89" spans="1:16" s="56" customFormat="1" x14ac:dyDescent="0.3">
      <c r="A89" s="5"/>
      <c r="B89" s="1"/>
      <c r="C89" s="1"/>
      <c r="D89" s="1"/>
      <c r="E89" s="1"/>
      <c r="F89" s="98"/>
      <c r="G89" s="14"/>
    </row>
    <row r="90" spans="1:16" s="56" customFormat="1" x14ac:dyDescent="0.3">
      <c r="A90" s="5"/>
      <c r="B90" s="1"/>
      <c r="C90" s="1"/>
      <c r="D90" s="1"/>
      <c r="E90" s="1"/>
      <c r="F90" s="7"/>
      <c r="G90" s="14"/>
    </row>
    <row r="91" spans="1:16" s="56" customFormat="1" x14ac:dyDescent="0.3">
      <c r="A91" s="53"/>
      <c r="B91" s="54"/>
      <c r="C91" s="54"/>
      <c r="D91" s="54"/>
      <c r="E91" s="54"/>
      <c r="F91" s="55"/>
      <c r="G91" s="55"/>
      <c r="P91" s="100"/>
    </row>
    <row r="92" spans="1:16" s="56" customFormat="1" x14ac:dyDescent="0.3">
      <c r="A92" s="53"/>
      <c r="B92" s="54"/>
      <c r="C92" s="54"/>
      <c r="D92" s="54"/>
      <c r="E92" s="54"/>
      <c r="F92" s="55"/>
      <c r="G92" s="55"/>
    </row>
    <row r="93" spans="1:16" s="56" customFormat="1" x14ac:dyDescent="0.3">
      <c r="A93" s="53"/>
      <c r="B93" s="54"/>
      <c r="C93" s="54"/>
      <c r="D93" s="54"/>
      <c r="E93" s="54"/>
      <c r="F93" s="55"/>
      <c r="G93" s="55"/>
    </row>
    <row r="94" spans="1:16" x14ac:dyDescent="0.3">
      <c r="A94" s="53"/>
      <c r="B94" s="54"/>
      <c r="C94" s="54"/>
      <c r="D94" s="54"/>
      <c r="E94" s="54"/>
      <c r="F94" s="55"/>
      <c r="G94" s="55"/>
      <c r="O94" s="20"/>
    </row>
    <row r="95" spans="1:16" x14ac:dyDescent="0.3">
      <c r="A95" s="53"/>
      <c r="B95" s="54"/>
      <c r="C95" s="54"/>
      <c r="D95" s="54"/>
      <c r="E95" s="54"/>
      <c r="F95" s="55"/>
      <c r="G95" s="55"/>
    </row>
    <row r="96" spans="1:16" x14ac:dyDescent="0.3">
      <c r="A96" s="53"/>
      <c r="B96" s="54"/>
      <c r="C96" s="54"/>
      <c r="D96" s="54"/>
      <c r="E96" s="54"/>
      <c r="F96" s="55"/>
      <c r="G96" s="55"/>
    </row>
    <row r="97" spans="1:11" x14ac:dyDescent="0.3">
      <c r="A97" s="30"/>
      <c r="B97" s="21"/>
      <c r="C97" s="21"/>
      <c r="D97" s="21"/>
      <c r="E97" s="21"/>
      <c r="F97" s="17"/>
      <c r="G97" s="17"/>
    </row>
    <row r="98" spans="1:11" x14ac:dyDescent="0.3">
      <c r="A98" s="30"/>
      <c r="B98" s="21"/>
      <c r="C98" s="21"/>
      <c r="D98" s="17"/>
      <c r="E98" s="17"/>
      <c r="F98" s="17"/>
      <c r="G98" s="17"/>
    </row>
    <row r="99" spans="1:11" x14ac:dyDescent="0.3">
      <c r="A99" s="30"/>
      <c r="B99" s="21"/>
      <c r="C99" s="21"/>
      <c r="D99" s="17"/>
      <c r="E99" s="17"/>
      <c r="F99" s="17"/>
      <c r="G99" s="17"/>
    </row>
    <row r="100" spans="1:11" x14ac:dyDescent="0.3">
      <c r="A100" s="30"/>
      <c r="B100" s="21"/>
      <c r="C100" s="21"/>
      <c r="D100" s="17"/>
      <c r="E100" s="17"/>
      <c r="F100" s="17"/>
      <c r="G100" s="17"/>
    </row>
    <row r="101" spans="1:11" x14ac:dyDescent="0.3">
      <c r="A101" s="30"/>
      <c r="B101" s="21"/>
      <c r="C101" s="21"/>
      <c r="D101" s="17"/>
      <c r="E101" s="17"/>
      <c r="F101" s="17"/>
      <c r="G101" s="7"/>
    </row>
    <row r="102" spans="1:11" x14ac:dyDescent="0.3">
      <c r="A102" s="17"/>
      <c r="B102" s="21"/>
      <c r="C102" s="21"/>
      <c r="D102" s="17"/>
      <c r="E102" s="17"/>
      <c r="F102" s="17"/>
      <c r="G102" s="17"/>
    </row>
    <row r="103" spans="1:11" x14ac:dyDescent="0.3">
      <c r="A103" s="30"/>
      <c r="B103" s="21"/>
      <c r="C103" s="21"/>
      <c r="D103" s="17"/>
      <c r="E103" s="17"/>
      <c r="F103" s="17"/>
      <c r="G103" s="17"/>
    </row>
    <row r="104" spans="1:11" x14ac:dyDescent="0.3">
      <c r="A104" s="30"/>
      <c r="B104" s="21"/>
      <c r="C104" s="21"/>
      <c r="D104" s="17"/>
      <c r="E104" s="17"/>
      <c r="F104" s="17"/>
      <c r="G104" s="17"/>
    </row>
    <row r="105" spans="1:11" x14ac:dyDescent="0.3">
      <c r="A105" s="30"/>
      <c r="B105" s="21"/>
      <c r="C105" s="21"/>
      <c r="D105" s="17"/>
      <c r="E105" s="17"/>
      <c r="F105" s="17"/>
      <c r="G105" s="17"/>
    </row>
    <row r="106" spans="1:11" x14ac:dyDescent="0.3">
      <c r="A106" s="30"/>
      <c r="B106" s="21"/>
      <c r="C106" s="21"/>
      <c r="D106" s="17"/>
      <c r="E106" s="17"/>
      <c r="F106" s="17"/>
      <c r="G106" s="17"/>
      <c r="J106" s="20"/>
      <c r="K106" s="20"/>
    </row>
    <row r="108" spans="1:11" x14ac:dyDescent="0.3">
      <c r="C108" s="8"/>
    </row>
    <row r="109" spans="1:11" x14ac:dyDescent="0.3">
      <c r="C109" s="8"/>
      <c r="D109" s="20"/>
    </row>
    <row r="110" spans="1:11" x14ac:dyDescent="0.3">
      <c r="B110" s="15"/>
      <c r="C110" s="16"/>
      <c r="D110" s="15"/>
      <c r="E110" s="15"/>
      <c r="F110" s="16"/>
      <c r="G110" s="16"/>
    </row>
    <row r="111" spans="1:11" x14ac:dyDescent="0.3">
      <c r="B111" s="1"/>
      <c r="C111" s="7"/>
      <c r="D111" s="1"/>
      <c r="E111" s="1"/>
      <c r="F111" s="7"/>
      <c r="G111" s="7"/>
    </row>
    <row r="112" spans="1:11" x14ac:dyDescent="0.3">
      <c r="B112" s="1"/>
      <c r="C112" s="7"/>
      <c r="D112" s="1"/>
      <c r="E112" s="7"/>
      <c r="F112" s="7"/>
      <c r="G112" s="7"/>
      <c r="H112" s="26"/>
    </row>
    <row r="113" spans="1:8" x14ac:dyDescent="0.3">
      <c r="B113" s="1"/>
      <c r="C113" s="7"/>
      <c r="D113" s="1"/>
      <c r="E113" s="7"/>
      <c r="F113" s="7"/>
      <c r="G113" s="7"/>
      <c r="H113" s="20"/>
    </row>
    <row r="114" spans="1:8" x14ac:dyDescent="0.3">
      <c r="B114" s="1"/>
      <c r="C114" s="7"/>
      <c r="D114" s="1"/>
      <c r="E114" s="7"/>
      <c r="F114" s="7"/>
      <c r="G114" s="7"/>
    </row>
    <row r="115" spans="1:8" x14ac:dyDescent="0.3">
      <c r="B115" s="1"/>
      <c r="C115" s="7"/>
      <c r="D115" s="39"/>
      <c r="E115" s="14"/>
      <c r="F115" s="14"/>
      <c r="G115" s="13"/>
    </row>
    <row r="116" spans="1:8" x14ac:dyDescent="0.3">
      <c r="B116" s="1"/>
      <c r="C116" s="7"/>
      <c r="D116" s="1"/>
      <c r="E116" s="7"/>
      <c r="F116" s="7"/>
      <c r="G116" s="7"/>
    </row>
    <row r="117" spans="1:8" x14ac:dyDescent="0.3">
      <c r="B117" s="12"/>
      <c r="C117" s="12"/>
      <c r="D117" s="12"/>
      <c r="E117" s="13"/>
      <c r="F117" s="7"/>
      <c r="G117" s="7"/>
    </row>
    <row r="118" spans="1:8" x14ac:dyDescent="0.3">
      <c r="B118" s="1"/>
      <c r="C118" s="1"/>
      <c r="D118" s="1"/>
      <c r="E118" s="1"/>
      <c r="F118" s="7"/>
      <c r="G118" s="7"/>
    </row>
    <row r="119" spans="1:8" x14ac:dyDescent="0.3">
      <c r="B119" s="1"/>
      <c r="C119" s="1"/>
      <c r="D119" s="1"/>
      <c r="E119" s="1"/>
      <c r="F119" s="7"/>
      <c r="G119" s="7"/>
    </row>
    <row r="120" spans="1:8" ht="31.2" x14ac:dyDescent="0.6">
      <c r="C120" s="94"/>
    </row>
    <row r="121" spans="1:8" ht="21" x14ac:dyDescent="0.4">
      <c r="A121" s="4"/>
      <c r="B121" s="4"/>
      <c r="C121" s="4"/>
      <c r="D121" s="4"/>
      <c r="E121" s="4"/>
      <c r="F121" s="6"/>
      <c r="G121" s="6"/>
    </row>
    <row r="122" spans="1:8" x14ac:dyDescent="0.3">
      <c r="A122" s="5"/>
      <c r="B122" s="1"/>
      <c r="C122" s="1"/>
      <c r="D122" s="1"/>
      <c r="E122" s="1"/>
      <c r="F122" s="7"/>
      <c r="G122" s="7"/>
    </row>
    <row r="123" spans="1:8" x14ac:dyDescent="0.3">
      <c r="A123" s="5"/>
      <c r="B123" s="1"/>
      <c r="C123" s="1"/>
      <c r="D123" s="1"/>
      <c r="E123" s="1"/>
      <c r="F123" s="7"/>
      <c r="G123" s="7"/>
    </row>
    <row r="124" spans="1:8" x14ac:dyDescent="0.3">
      <c r="A124" s="36"/>
      <c r="B124" s="37"/>
      <c r="C124" s="37"/>
      <c r="D124" s="37"/>
      <c r="E124" s="37"/>
      <c r="F124" s="19"/>
      <c r="G124" s="19"/>
    </row>
    <row r="125" spans="1:8" x14ac:dyDescent="0.3">
      <c r="A125" s="5"/>
      <c r="B125" s="1"/>
      <c r="C125" s="1"/>
      <c r="D125" s="1"/>
      <c r="E125" s="1"/>
      <c r="F125" s="7"/>
      <c r="G125" s="7"/>
    </row>
    <row r="128" spans="1:8" x14ac:dyDescent="0.3">
      <c r="A128" s="5"/>
      <c r="B128" s="1"/>
      <c r="C128" s="1"/>
      <c r="D128" s="1"/>
      <c r="E128" s="1"/>
      <c r="F128" s="7"/>
      <c r="G128" s="7"/>
    </row>
    <row r="129" spans="1:7" x14ac:dyDescent="0.3">
      <c r="A129" s="5"/>
      <c r="B129" s="1"/>
      <c r="C129" s="1"/>
      <c r="D129" s="1"/>
      <c r="E129" s="1"/>
      <c r="F129" s="7"/>
      <c r="G129" s="7"/>
    </row>
    <row r="130" spans="1:7" x14ac:dyDescent="0.3">
      <c r="A130" s="5"/>
      <c r="B130" s="1"/>
      <c r="C130" s="1"/>
      <c r="D130" s="1"/>
      <c r="E130" s="1"/>
      <c r="F130" s="7"/>
      <c r="G130" s="7"/>
    </row>
    <row r="131" spans="1:7" x14ac:dyDescent="0.3">
      <c r="A131" s="5"/>
      <c r="B131" s="1"/>
      <c r="C131" s="7"/>
      <c r="D131" s="1"/>
      <c r="E131" s="1"/>
      <c r="F131" s="7"/>
      <c r="G131" s="7"/>
    </row>
    <row r="132" spans="1:7" x14ac:dyDescent="0.3">
      <c r="A132" s="1"/>
      <c r="B132" s="1"/>
      <c r="C132" s="7"/>
      <c r="D132" s="7"/>
      <c r="E132" s="1"/>
      <c r="F132" s="7"/>
      <c r="G132" s="7"/>
    </row>
    <row r="133" spans="1:7" x14ac:dyDescent="0.3">
      <c r="A133" s="1"/>
      <c r="B133" s="15"/>
      <c r="C133" s="16"/>
      <c r="D133" s="15"/>
      <c r="E133" s="15"/>
      <c r="F133" s="16"/>
      <c r="G133" s="16"/>
    </row>
    <row r="134" spans="1:7" x14ac:dyDescent="0.3">
      <c r="A134" s="1"/>
      <c r="B134" s="1"/>
      <c r="C134" s="7"/>
      <c r="D134" s="1"/>
      <c r="E134" s="1"/>
      <c r="F134" s="7"/>
      <c r="G134" s="7"/>
    </row>
    <row r="135" spans="1:7" x14ac:dyDescent="0.3">
      <c r="A135" s="1"/>
      <c r="B135" s="1"/>
      <c r="C135" s="7"/>
      <c r="D135" s="1"/>
      <c r="E135" s="7"/>
      <c r="F135" s="7"/>
      <c r="G135" s="7"/>
    </row>
    <row r="136" spans="1:7" x14ac:dyDescent="0.3">
      <c r="A136" s="1"/>
      <c r="B136" s="1"/>
      <c r="C136" s="7"/>
      <c r="D136" s="1"/>
      <c r="E136" s="7"/>
      <c r="F136" s="7"/>
      <c r="G136" s="7"/>
    </row>
    <row r="137" spans="1:7" x14ac:dyDescent="0.3">
      <c r="A137" s="1"/>
      <c r="B137" s="1"/>
      <c r="C137" s="7"/>
      <c r="D137" s="1"/>
      <c r="E137" s="7"/>
      <c r="F137" s="7"/>
      <c r="G137" s="7"/>
    </row>
    <row r="138" spans="1:7" x14ac:dyDescent="0.3">
      <c r="A138" s="1"/>
      <c r="B138" s="1"/>
      <c r="C138" s="7"/>
      <c r="D138" s="39"/>
      <c r="E138" s="14"/>
      <c r="F138" s="14"/>
      <c r="G138" s="13"/>
    </row>
    <row r="139" spans="1:7" x14ac:dyDescent="0.3">
      <c r="A139" s="1"/>
      <c r="B139" s="1"/>
      <c r="C139" s="7"/>
      <c r="D139" s="1"/>
      <c r="E139" s="7"/>
      <c r="F139" s="7"/>
      <c r="G139" s="7"/>
    </row>
    <row r="140" spans="1:7" x14ac:dyDescent="0.3">
      <c r="A140" s="118"/>
      <c r="B140" s="153"/>
      <c r="C140" s="153"/>
      <c r="D140" s="153"/>
      <c r="E140" s="154"/>
      <c r="F140" s="155"/>
      <c r="G140" s="156"/>
    </row>
    <row r="141" spans="1:7" x14ac:dyDescent="0.3">
      <c r="A141" s="25"/>
      <c r="B141" s="25"/>
      <c r="C141" s="25"/>
      <c r="D141" s="25"/>
      <c r="E141" s="25"/>
      <c r="F141" s="35"/>
      <c r="G141" s="35"/>
    </row>
    <row r="142" spans="1:7" x14ac:dyDescent="0.3">
      <c r="A142" s="25"/>
      <c r="B142" s="25"/>
      <c r="C142" s="25"/>
      <c r="D142" s="25"/>
      <c r="E142" s="25"/>
      <c r="F142" s="35"/>
      <c r="G142" s="35"/>
    </row>
    <row r="143" spans="1:7" x14ac:dyDescent="0.3">
      <c r="A143" s="25"/>
      <c r="B143" s="25"/>
      <c r="C143" s="25"/>
      <c r="D143" s="35"/>
      <c r="E143" s="25"/>
      <c r="F143" s="35"/>
      <c r="G143" s="35"/>
    </row>
    <row r="144" spans="1:7" x14ac:dyDescent="0.3">
      <c r="A144" s="25"/>
      <c r="B144" s="25"/>
      <c r="C144" s="25"/>
      <c r="D144" s="35"/>
      <c r="E144" s="25"/>
      <c r="F144" s="35"/>
      <c r="G144" s="35"/>
    </row>
    <row r="145" spans="1:9" x14ac:dyDescent="0.3">
      <c r="A145" s="25"/>
      <c r="B145" s="25"/>
      <c r="C145" s="25"/>
      <c r="D145" s="35"/>
      <c r="E145" s="25"/>
      <c r="F145" s="35"/>
      <c r="G145" s="35"/>
    </row>
    <row r="146" spans="1:9" x14ac:dyDescent="0.3">
      <c r="A146" s="25"/>
      <c r="B146" s="25"/>
      <c r="C146" s="25"/>
      <c r="D146" s="25"/>
      <c r="E146" s="25"/>
      <c r="F146" s="35"/>
      <c r="G146" s="35"/>
    </row>
    <row r="147" spans="1:9" x14ac:dyDescent="0.3">
      <c r="A147" s="25"/>
      <c r="B147" s="25"/>
      <c r="C147" s="25"/>
      <c r="D147" s="25"/>
      <c r="E147" s="25"/>
      <c r="F147" s="35"/>
      <c r="G147" s="35"/>
    </row>
    <row r="148" spans="1:9" x14ac:dyDescent="0.3">
      <c r="A148" s="25"/>
      <c r="B148" s="25"/>
      <c r="C148" s="25"/>
      <c r="D148" s="25"/>
      <c r="E148" s="25"/>
      <c r="F148" s="35"/>
      <c r="G148" s="35"/>
    </row>
    <row r="149" spans="1:9" x14ac:dyDescent="0.3">
      <c r="A149" s="25"/>
      <c r="B149" s="25"/>
      <c r="C149" s="25"/>
      <c r="D149" s="25"/>
      <c r="E149" s="25"/>
      <c r="F149" s="35"/>
      <c r="G149" s="35"/>
    </row>
    <row r="150" spans="1:9" x14ac:dyDescent="0.3">
      <c r="A150" s="25"/>
      <c r="B150" s="25"/>
      <c r="C150" s="25"/>
      <c r="D150" s="25"/>
      <c r="E150" s="25"/>
      <c r="F150" s="35"/>
      <c r="G150" s="35"/>
    </row>
    <row r="151" spans="1:9" x14ac:dyDescent="0.3">
      <c r="A151" s="25"/>
      <c r="B151" s="25"/>
      <c r="C151" s="25"/>
      <c r="D151" s="25"/>
      <c r="E151" s="25"/>
      <c r="F151" s="35"/>
      <c r="G151" s="35"/>
    </row>
    <row r="152" spans="1:9" x14ac:dyDescent="0.3">
      <c r="A152" s="25"/>
      <c r="B152" s="25"/>
      <c r="C152" s="25"/>
      <c r="D152" s="25"/>
      <c r="E152" s="25"/>
      <c r="F152" s="35"/>
      <c r="G152" s="35"/>
    </row>
    <row r="153" spans="1:9" x14ac:dyDescent="0.3">
      <c r="A153" s="25"/>
      <c r="B153" s="25"/>
      <c r="C153" s="25"/>
      <c r="D153" s="25"/>
      <c r="E153" s="25"/>
      <c r="F153" s="35"/>
      <c r="G153" s="35"/>
    </row>
    <row r="154" spans="1:9" x14ac:dyDescent="0.3">
      <c r="A154" s="25"/>
      <c r="B154" s="25"/>
      <c r="C154" s="25"/>
      <c r="D154" s="25"/>
      <c r="E154" s="25"/>
      <c r="F154" s="35"/>
      <c r="G154" s="35"/>
    </row>
    <row r="155" spans="1:9" x14ac:dyDescent="0.3">
      <c r="A155" s="25"/>
      <c r="B155" s="25"/>
      <c r="C155" s="25"/>
      <c r="D155" s="25"/>
      <c r="E155" s="25"/>
      <c r="F155" s="35"/>
      <c r="G155" s="35"/>
    </row>
    <row r="156" spans="1:9" x14ac:dyDescent="0.3">
      <c r="A156" s="25"/>
      <c r="B156" s="25"/>
      <c r="C156" s="25"/>
      <c r="D156" s="25"/>
      <c r="E156" s="25"/>
      <c r="F156" s="35"/>
      <c r="G156" s="35"/>
    </row>
    <row r="157" spans="1:9" x14ac:dyDescent="0.3">
      <c r="A157" s="25"/>
      <c r="B157" s="25"/>
      <c r="C157" s="25"/>
      <c r="D157" s="25"/>
      <c r="E157" s="25"/>
      <c r="F157" s="35"/>
      <c r="G157" s="35"/>
    </row>
    <row r="158" spans="1:9" x14ac:dyDescent="0.3">
      <c r="A158" s="25"/>
      <c r="B158" s="25"/>
      <c r="C158" s="25"/>
      <c r="D158" s="25"/>
      <c r="E158" s="25"/>
      <c r="F158" s="35"/>
      <c r="G158" s="35"/>
    </row>
    <row r="159" spans="1:9" x14ac:dyDescent="0.3">
      <c r="A159" s="25"/>
      <c r="B159" s="25"/>
      <c r="C159" s="25"/>
      <c r="D159" s="25"/>
      <c r="E159" s="25"/>
      <c r="F159" s="35"/>
      <c r="G159" s="35"/>
    </row>
    <row r="160" spans="1:9" x14ac:dyDescent="0.3">
      <c r="A160" s="25"/>
      <c r="B160" s="25"/>
      <c r="C160" s="25"/>
      <c r="D160" s="25"/>
      <c r="E160" s="25"/>
      <c r="F160" s="35"/>
      <c r="G160" s="35"/>
      <c r="I160" s="20"/>
    </row>
    <row r="161" spans="1:7" x14ac:dyDescent="0.3">
      <c r="A161" s="25"/>
      <c r="B161" s="25"/>
      <c r="C161" s="25"/>
      <c r="D161" s="25"/>
      <c r="E161" s="25"/>
      <c r="F161" s="35"/>
      <c r="G161" s="35"/>
    </row>
    <row r="162" spans="1:7" x14ac:dyDescent="0.3">
      <c r="A162" s="25"/>
      <c r="B162" s="25"/>
      <c r="C162" s="25"/>
      <c r="D162" s="25"/>
      <c r="E162" s="25"/>
      <c r="F162" s="35"/>
      <c r="G162" s="35"/>
    </row>
    <row r="163" spans="1:7" x14ac:dyDescent="0.3">
      <c r="A163" s="25"/>
      <c r="B163" s="25"/>
      <c r="C163" s="25"/>
      <c r="D163" s="25"/>
      <c r="E163" s="25"/>
      <c r="F163" s="35"/>
      <c r="G163" s="35"/>
    </row>
    <row r="164" spans="1:7" x14ac:dyDescent="0.3">
      <c r="A164" s="25"/>
      <c r="B164" s="25"/>
      <c r="C164" s="25"/>
      <c r="D164" s="25"/>
      <c r="E164" s="25"/>
      <c r="F164" s="35"/>
      <c r="G164" s="35"/>
    </row>
    <row r="165" spans="1:7" x14ac:dyDescent="0.3">
      <c r="A165" s="25"/>
      <c r="B165" s="25"/>
      <c r="C165" s="25"/>
      <c r="D165" s="25"/>
      <c r="E165" s="25"/>
      <c r="F165" s="35"/>
      <c r="G165" s="35"/>
    </row>
    <row r="166" spans="1:7" x14ac:dyDescent="0.3">
      <c r="A166" s="25"/>
      <c r="B166" s="25"/>
      <c r="C166" s="25"/>
      <c r="D166" s="25"/>
      <c r="E166" s="25"/>
      <c r="F166" s="35"/>
      <c r="G166" s="35"/>
    </row>
    <row r="167" spans="1:7" x14ac:dyDescent="0.3">
      <c r="A167" s="25"/>
      <c r="B167" s="25"/>
      <c r="C167" s="25"/>
      <c r="D167" s="25"/>
      <c r="E167" s="25"/>
      <c r="F167" s="35"/>
      <c r="G167" s="35"/>
    </row>
    <row r="168" spans="1:7" x14ac:dyDescent="0.3">
      <c r="A168" s="25"/>
      <c r="B168" s="25"/>
      <c r="C168" s="25"/>
      <c r="D168" s="25"/>
      <c r="E168" s="25"/>
      <c r="F168" s="35"/>
      <c r="G168" s="35"/>
    </row>
    <row r="169" spans="1:7" x14ac:dyDescent="0.3">
      <c r="A169" s="25"/>
      <c r="B169" s="25"/>
      <c r="C169" s="25"/>
      <c r="D169" s="25"/>
      <c r="E169" s="25"/>
      <c r="F169" s="35"/>
      <c r="G169" s="35"/>
    </row>
    <row r="170" spans="1:7" x14ac:dyDescent="0.3">
      <c r="A170" s="25"/>
      <c r="B170" s="25"/>
      <c r="C170" s="25"/>
      <c r="D170" s="25"/>
      <c r="E170" s="25"/>
      <c r="F170" s="35"/>
      <c r="G170" s="35"/>
    </row>
    <row r="171" spans="1:7" x14ac:dyDescent="0.3">
      <c r="A171" s="25"/>
      <c r="B171" s="25"/>
      <c r="C171" s="25"/>
      <c r="D171" s="25"/>
      <c r="E171" s="25"/>
      <c r="F171" s="35"/>
      <c r="G171" s="35"/>
    </row>
    <row r="172" spans="1:7" x14ac:dyDescent="0.3">
      <c r="A172" s="25"/>
      <c r="B172" s="25"/>
      <c r="C172" s="25"/>
      <c r="D172" s="25"/>
      <c r="E172" s="25"/>
      <c r="F172" s="35"/>
      <c r="G172" s="35"/>
    </row>
    <row r="173" spans="1:7" x14ac:dyDescent="0.3">
      <c r="A173" s="25"/>
      <c r="B173" s="25"/>
      <c r="C173" s="25"/>
      <c r="D173" s="25"/>
      <c r="E173" s="25"/>
      <c r="F173" s="35"/>
      <c r="G173" s="35"/>
    </row>
    <row r="174" spans="1:7" x14ac:dyDescent="0.3">
      <c r="A174" s="25"/>
      <c r="B174" s="25"/>
      <c r="C174" s="25"/>
      <c r="D174" s="25"/>
      <c r="E174" s="25"/>
      <c r="F174" s="35"/>
      <c r="G174" s="35"/>
    </row>
    <row r="175" spans="1:7" x14ac:dyDescent="0.3">
      <c r="A175" s="25"/>
      <c r="B175" s="25"/>
      <c r="C175" s="25"/>
      <c r="D175" s="25"/>
      <c r="E175" s="25"/>
      <c r="F175" s="35"/>
      <c r="G175" s="35"/>
    </row>
    <row r="176" spans="1:7" x14ac:dyDescent="0.3">
      <c r="A176" s="25"/>
      <c r="B176" s="25"/>
      <c r="C176" s="25"/>
      <c r="D176" s="25"/>
      <c r="E176" s="25"/>
      <c r="F176" s="35"/>
      <c r="G176" s="35"/>
    </row>
    <row r="177" spans="1:7" x14ac:dyDescent="0.3">
      <c r="A177" s="25"/>
      <c r="B177" s="25"/>
      <c r="C177" s="25"/>
      <c r="D177" s="25"/>
      <c r="E177" s="25"/>
      <c r="F177" s="35"/>
      <c r="G177" s="35"/>
    </row>
    <row r="178" spans="1:7" x14ac:dyDescent="0.3">
      <c r="A178" s="25"/>
      <c r="B178" s="25"/>
      <c r="C178" s="25"/>
      <c r="D178" s="25"/>
      <c r="E178" s="25"/>
      <c r="F178" s="35"/>
      <c r="G178" s="35"/>
    </row>
    <row r="179" spans="1:7" x14ac:dyDescent="0.3">
      <c r="A179" s="25"/>
      <c r="B179" s="25"/>
      <c r="C179" s="25"/>
      <c r="D179" s="25"/>
      <c r="E179" s="25"/>
      <c r="F179" s="35"/>
      <c r="G179" s="35"/>
    </row>
    <row r="180" spans="1:7" x14ac:dyDescent="0.3">
      <c r="A180" s="25"/>
      <c r="B180" s="25"/>
      <c r="C180" s="25"/>
      <c r="D180" s="25"/>
      <c r="E180" s="25"/>
      <c r="F180" s="35"/>
      <c r="G180" s="35"/>
    </row>
    <row r="181" spans="1:7" x14ac:dyDescent="0.3">
      <c r="A181" s="25"/>
      <c r="B181" s="25"/>
      <c r="C181" s="25"/>
      <c r="D181" s="25"/>
      <c r="E181" s="25"/>
      <c r="F181" s="35"/>
      <c r="G181" s="35"/>
    </row>
    <row r="182" spans="1:7" x14ac:dyDescent="0.3">
      <c r="A182" s="25"/>
      <c r="B182" s="25"/>
      <c r="C182" s="25"/>
      <c r="D182" s="25"/>
      <c r="E182" s="25"/>
      <c r="F182" s="35"/>
      <c r="G182" s="35"/>
    </row>
    <row r="183" spans="1:7" x14ac:dyDescent="0.3">
      <c r="A183" s="25"/>
      <c r="B183" s="25"/>
      <c r="C183" s="25"/>
      <c r="D183" s="25"/>
      <c r="E183" s="25"/>
      <c r="F183" s="35"/>
      <c r="G183" s="35"/>
    </row>
    <row r="184" spans="1:7" x14ac:dyDescent="0.3">
      <c r="A184" s="25"/>
      <c r="B184" s="25"/>
      <c r="C184" s="25"/>
      <c r="D184" s="25"/>
      <c r="E184" s="25"/>
      <c r="F184" s="35"/>
      <c r="G184" s="35"/>
    </row>
    <row r="185" spans="1:7" x14ac:dyDescent="0.3">
      <c r="A185" s="25"/>
      <c r="B185" s="25"/>
      <c r="C185" s="25"/>
      <c r="D185" s="25"/>
      <c r="E185" s="25"/>
      <c r="F185" s="35"/>
      <c r="G185" s="35"/>
    </row>
    <row r="186" spans="1:7" x14ac:dyDescent="0.3">
      <c r="A186" s="25"/>
      <c r="B186" s="25"/>
      <c r="C186" s="25"/>
      <c r="D186" s="25"/>
      <c r="E186" s="25"/>
      <c r="F186" s="35"/>
      <c r="G186" s="35"/>
    </row>
    <row r="187" spans="1:7" x14ac:dyDescent="0.3">
      <c r="A187" s="25"/>
      <c r="B187" s="25"/>
      <c r="C187" s="25"/>
      <c r="D187" s="25"/>
      <c r="E187" s="25"/>
      <c r="F187" s="35"/>
      <c r="G187" s="35"/>
    </row>
    <row r="188" spans="1:7" x14ac:dyDescent="0.3">
      <c r="A188" s="25"/>
      <c r="B188" s="25"/>
      <c r="C188" s="25"/>
      <c r="D188" s="25"/>
      <c r="E188" s="25"/>
      <c r="F188" s="35"/>
      <c r="G188" s="35"/>
    </row>
    <row r="189" spans="1:7" x14ac:dyDescent="0.3">
      <c r="A189" s="25"/>
      <c r="B189" s="25"/>
      <c r="C189" s="25"/>
      <c r="D189" s="25"/>
      <c r="E189" s="25"/>
      <c r="F189" s="35"/>
      <c r="G189" s="35"/>
    </row>
    <row r="190" spans="1:7" x14ac:dyDescent="0.3">
      <c r="A190" s="25"/>
      <c r="B190" s="25"/>
      <c r="C190" s="25"/>
      <c r="D190" s="25"/>
      <c r="E190" s="25"/>
      <c r="F190" s="35"/>
      <c r="G190" s="35"/>
    </row>
    <row r="191" spans="1:7" x14ac:dyDescent="0.3">
      <c r="A191" s="25"/>
      <c r="B191" s="25"/>
      <c r="C191" s="25"/>
      <c r="D191" s="25"/>
      <c r="E191" s="25"/>
      <c r="F191" s="35"/>
      <c r="G191" s="35"/>
    </row>
    <row r="192" spans="1:7" x14ac:dyDescent="0.3">
      <c r="A192" s="25"/>
      <c r="B192" s="25"/>
      <c r="C192" s="25"/>
      <c r="D192" s="25"/>
      <c r="E192" s="25"/>
      <c r="F192" s="35"/>
      <c r="G192" s="35"/>
    </row>
    <row r="193" spans="1:7" x14ac:dyDescent="0.3">
      <c r="A193" s="25"/>
      <c r="B193" s="25"/>
      <c r="C193" s="25"/>
      <c r="D193" s="25"/>
      <c r="E193" s="25"/>
      <c r="F193" s="35"/>
      <c r="G193" s="35"/>
    </row>
    <row r="194" spans="1:7" x14ac:dyDescent="0.3">
      <c r="A194" s="25"/>
      <c r="B194" s="25"/>
      <c r="C194" s="25"/>
      <c r="D194" s="25"/>
      <c r="E194" s="25"/>
      <c r="F194" s="35"/>
      <c r="G194" s="35"/>
    </row>
    <row r="195" spans="1:7" x14ac:dyDescent="0.3">
      <c r="A195" s="25"/>
      <c r="B195" s="25"/>
      <c r="C195" s="25"/>
      <c r="D195" s="25"/>
      <c r="E195" s="25"/>
      <c r="F195" s="35"/>
      <c r="G195" s="35"/>
    </row>
    <row r="196" spans="1:7" x14ac:dyDescent="0.3">
      <c r="A196" s="25"/>
      <c r="B196" s="25"/>
      <c r="C196" s="25"/>
      <c r="D196" s="25"/>
      <c r="E196" s="25"/>
      <c r="F196" s="35"/>
      <c r="G196" s="35"/>
    </row>
    <row r="197" spans="1:7" x14ac:dyDescent="0.3">
      <c r="A197" s="25"/>
      <c r="B197" s="25"/>
      <c r="C197" s="25"/>
      <c r="D197" s="25"/>
      <c r="E197" s="25"/>
      <c r="F197" s="35"/>
      <c r="G197" s="35"/>
    </row>
    <row r="198" spans="1:7" x14ac:dyDescent="0.3">
      <c r="A198" s="25"/>
      <c r="B198" s="25"/>
      <c r="C198" s="25"/>
      <c r="D198" s="25"/>
      <c r="E198" s="25"/>
      <c r="F198" s="35"/>
      <c r="G198" s="35"/>
    </row>
    <row r="199" spans="1:7" x14ac:dyDescent="0.3">
      <c r="A199" s="25"/>
      <c r="B199" s="25"/>
      <c r="C199" s="25"/>
      <c r="D199" s="25"/>
      <c r="E199" s="25"/>
      <c r="F199" s="35"/>
      <c r="G199" s="35"/>
    </row>
    <row r="200" spans="1:7" x14ac:dyDescent="0.3">
      <c r="A200" s="25"/>
      <c r="B200" s="25"/>
      <c r="C200" s="25"/>
      <c r="D200" s="25"/>
      <c r="E200" s="25"/>
      <c r="F200" s="35"/>
      <c r="G200" s="35"/>
    </row>
    <row r="201" spans="1:7" x14ac:dyDescent="0.3">
      <c r="A201" s="25"/>
      <c r="B201" s="25"/>
      <c r="C201" s="25"/>
      <c r="D201" s="25"/>
      <c r="E201" s="25"/>
      <c r="F201" s="35"/>
      <c r="G201" s="35"/>
    </row>
    <row r="202" spans="1:7" x14ac:dyDescent="0.3">
      <c r="A202" s="25"/>
      <c r="B202" s="25"/>
      <c r="C202" s="25"/>
      <c r="D202" s="25"/>
      <c r="E202" s="25"/>
      <c r="F202" s="35"/>
      <c r="G202" s="35"/>
    </row>
    <row r="203" spans="1:7" x14ac:dyDescent="0.3">
      <c r="A203" s="25"/>
      <c r="B203" s="25"/>
      <c r="C203" s="25"/>
      <c r="D203" s="25"/>
      <c r="E203" s="25"/>
      <c r="F203" s="35"/>
      <c r="G203" s="35"/>
    </row>
    <row r="204" spans="1:7" x14ac:dyDescent="0.3">
      <c r="A204" s="25"/>
      <c r="B204" s="25"/>
      <c r="C204" s="25"/>
      <c r="D204" s="25"/>
      <c r="E204" s="25"/>
      <c r="F204" s="35"/>
      <c r="G204" s="35"/>
    </row>
    <row r="205" spans="1:7" x14ac:dyDescent="0.3">
      <c r="A205" s="25"/>
      <c r="B205" s="25"/>
      <c r="C205" s="25"/>
      <c r="D205" s="25"/>
      <c r="E205" s="25"/>
      <c r="F205" s="35"/>
      <c r="G205" s="35"/>
    </row>
    <row r="206" spans="1:7" x14ac:dyDescent="0.3">
      <c r="A206" s="25"/>
      <c r="B206" s="25"/>
      <c r="C206" s="25"/>
      <c r="D206" s="25"/>
      <c r="E206" s="25"/>
      <c r="F206" s="35"/>
      <c r="G206" s="35"/>
    </row>
    <row r="207" spans="1:7" x14ac:dyDescent="0.3">
      <c r="A207" s="25"/>
      <c r="B207" s="25"/>
      <c r="C207" s="25"/>
      <c r="D207" s="25"/>
      <c r="E207" s="25"/>
      <c r="F207" s="35"/>
      <c r="G207" s="35"/>
    </row>
    <row r="208" spans="1:7" x14ac:dyDescent="0.3">
      <c r="A208" s="25"/>
      <c r="B208" s="25"/>
      <c r="C208" s="25"/>
      <c r="D208" s="25"/>
      <c r="E208" s="25"/>
      <c r="F208" s="35"/>
      <c r="G208" s="35"/>
    </row>
    <row r="209" spans="1:7" x14ac:dyDescent="0.3">
      <c r="A209" s="25"/>
      <c r="B209" s="25"/>
      <c r="C209" s="25"/>
      <c r="D209" s="25"/>
      <c r="E209" s="25"/>
      <c r="F209" s="35"/>
      <c r="G209" s="35"/>
    </row>
    <row r="210" spans="1:7" x14ac:dyDescent="0.3">
      <c r="A210" s="25"/>
      <c r="B210" s="25"/>
      <c r="C210" s="25"/>
      <c r="D210" s="25"/>
      <c r="E210" s="25"/>
      <c r="F210" s="35"/>
      <c r="G210" s="35"/>
    </row>
    <row r="211" spans="1:7" x14ac:dyDescent="0.3">
      <c r="A211" s="25"/>
      <c r="B211" s="25"/>
      <c r="C211" s="25"/>
      <c r="D211" s="25"/>
      <c r="E211" s="25"/>
      <c r="F211" s="35"/>
      <c r="G211" s="35"/>
    </row>
    <row r="212" spans="1:7" x14ac:dyDescent="0.3">
      <c r="A212" s="25"/>
      <c r="B212" s="25"/>
      <c r="C212" s="25"/>
      <c r="D212" s="25"/>
      <c r="E212" s="25"/>
      <c r="F212" s="35"/>
      <c r="G212" s="35"/>
    </row>
    <row r="213" spans="1:7" x14ac:dyDescent="0.3">
      <c r="A213" s="25"/>
      <c r="B213" s="25"/>
      <c r="C213" s="25"/>
      <c r="D213" s="25"/>
      <c r="E213" s="25"/>
      <c r="F213" s="35"/>
      <c r="G213" s="35"/>
    </row>
    <row r="214" spans="1:7" x14ac:dyDescent="0.3">
      <c r="A214" s="25"/>
      <c r="B214" s="25"/>
      <c r="C214" s="25"/>
      <c r="D214" s="25"/>
      <c r="E214" s="25"/>
      <c r="F214" s="35"/>
      <c r="G214" s="35"/>
    </row>
    <row r="215" spans="1:7" x14ac:dyDescent="0.3">
      <c r="A215" s="25"/>
      <c r="B215" s="25"/>
      <c r="C215" s="25"/>
      <c r="D215" s="25"/>
      <c r="E215" s="25"/>
      <c r="F215" s="35"/>
      <c r="G215" s="35"/>
    </row>
    <row r="216" spans="1:7" x14ac:dyDescent="0.3">
      <c r="A216" s="25"/>
      <c r="B216" s="25"/>
      <c r="C216" s="25"/>
      <c r="D216" s="25"/>
      <c r="E216" s="25"/>
      <c r="F216" s="35"/>
      <c r="G216" s="35"/>
    </row>
    <row r="217" spans="1:7" x14ac:dyDescent="0.3">
      <c r="A217" s="25"/>
      <c r="B217" s="25"/>
      <c r="C217" s="25"/>
      <c r="D217" s="25"/>
      <c r="E217" s="25"/>
      <c r="F217" s="35"/>
      <c r="G217" s="35"/>
    </row>
    <row r="218" spans="1:7" x14ac:dyDescent="0.3">
      <c r="A218" s="25"/>
      <c r="B218" s="25"/>
      <c r="C218" s="25"/>
      <c r="D218" s="25"/>
      <c r="E218" s="25"/>
      <c r="F218" s="35"/>
      <c r="G218" s="35"/>
    </row>
    <row r="219" spans="1:7" x14ac:dyDescent="0.3">
      <c r="A219" s="25"/>
      <c r="B219" s="25"/>
      <c r="C219" s="25"/>
      <c r="D219" s="25"/>
      <c r="E219" s="25"/>
      <c r="F219" s="35"/>
      <c r="G219" s="35"/>
    </row>
    <row r="220" spans="1:7" x14ac:dyDescent="0.3">
      <c r="A220" s="25"/>
      <c r="B220" s="25"/>
      <c r="C220" s="25"/>
      <c r="D220" s="25"/>
      <c r="E220" s="25"/>
      <c r="F220" s="35"/>
      <c r="G220" s="35"/>
    </row>
    <row r="221" spans="1:7" x14ac:dyDescent="0.3">
      <c r="A221" s="25"/>
      <c r="B221" s="25"/>
      <c r="C221" s="25"/>
      <c r="D221" s="25"/>
      <c r="E221" s="25"/>
      <c r="F221" s="35"/>
      <c r="G221" s="35"/>
    </row>
    <row r="222" spans="1:7" x14ac:dyDescent="0.3">
      <c r="A222" s="25"/>
      <c r="B222" s="25"/>
      <c r="C222" s="25"/>
      <c r="D222" s="25"/>
      <c r="E222" s="25"/>
      <c r="F222" s="35"/>
      <c r="G222" s="35"/>
    </row>
    <row r="223" spans="1:7" x14ac:dyDescent="0.3">
      <c r="A223" s="25"/>
      <c r="B223" s="25"/>
      <c r="C223" s="25"/>
      <c r="D223" s="25"/>
      <c r="E223" s="25"/>
      <c r="F223" s="35"/>
      <c r="G223" s="35"/>
    </row>
    <row r="224" spans="1:7" x14ac:dyDescent="0.3">
      <c r="A224" s="25"/>
      <c r="B224" s="25"/>
      <c r="C224" s="25"/>
      <c r="D224" s="25"/>
      <c r="E224" s="25"/>
      <c r="F224" s="35"/>
      <c r="G224" s="35"/>
    </row>
    <row r="225" spans="1:7" x14ac:dyDescent="0.3">
      <c r="A225" s="25"/>
      <c r="B225" s="25"/>
      <c r="C225" s="25"/>
      <c r="D225" s="25"/>
      <c r="E225" s="25"/>
      <c r="F225" s="35"/>
      <c r="G225" s="35"/>
    </row>
    <row r="226" spans="1:7" x14ac:dyDescent="0.3">
      <c r="A226" s="25"/>
      <c r="B226" s="25"/>
      <c r="C226" s="25"/>
      <c r="D226" s="25"/>
      <c r="E226" s="25"/>
      <c r="F226" s="35"/>
      <c r="G226" s="35"/>
    </row>
    <row r="227" spans="1:7" x14ac:dyDescent="0.3">
      <c r="A227" s="25"/>
      <c r="B227" s="25"/>
      <c r="C227" s="25"/>
      <c r="D227" s="25"/>
      <c r="E227" s="25"/>
      <c r="F227" s="35"/>
      <c r="G227" s="35"/>
    </row>
    <row r="228" spans="1:7" x14ac:dyDescent="0.3">
      <c r="A228" s="25"/>
      <c r="B228" s="25"/>
      <c r="C228" s="25"/>
      <c r="D228" s="25"/>
      <c r="E228" s="25"/>
      <c r="F228" s="35"/>
      <c r="G228" s="35"/>
    </row>
    <row r="229" spans="1:7" x14ac:dyDescent="0.3">
      <c r="A229" s="25"/>
      <c r="B229" s="25"/>
      <c r="C229" s="25"/>
      <c r="D229" s="25"/>
      <c r="E229" s="25"/>
      <c r="F229" s="35"/>
      <c r="G229" s="35"/>
    </row>
    <row r="230" spans="1:7" x14ac:dyDescent="0.3">
      <c r="A230" s="25"/>
      <c r="B230" s="25"/>
      <c r="C230" s="25"/>
      <c r="D230" s="25"/>
      <c r="E230" s="25"/>
      <c r="F230" s="35"/>
      <c r="G230" s="35"/>
    </row>
    <row r="231" spans="1:7" x14ac:dyDescent="0.3">
      <c r="A231" s="25"/>
      <c r="B231" s="25"/>
      <c r="C231" s="25"/>
      <c r="D231" s="25"/>
      <c r="E231" s="25"/>
      <c r="F231" s="35"/>
      <c r="G231" s="35"/>
    </row>
    <row r="232" spans="1:7" x14ac:dyDescent="0.3">
      <c r="A232" s="25"/>
      <c r="B232" s="25"/>
      <c r="C232" s="25"/>
      <c r="D232" s="25"/>
      <c r="E232" s="25"/>
      <c r="F232" s="35"/>
      <c r="G232" s="35"/>
    </row>
    <row r="233" spans="1:7" x14ac:dyDescent="0.3">
      <c r="A233" s="25"/>
      <c r="B233" s="25"/>
      <c r="C233" s="25"/>
      <c r="D233" s="25"/>
      <c r="E233" s="25"/>
      <c r="F233" s="35"/>
      <c r="G233" s="35"/>
    </row>
    <row r="234" spans="1:7" x14ac:dyDescent="0.3">
      <c r="A234" s="25"/>
      <c r="B234" s="25"/>
      <c r="C234" s="25"/>
      <c r="D234" s="25"/>
      <c r="E234" s="25"/>
      <c r="F234" s="35"/>
      <c r="G234" s="35"/>
    </row>
    <row r="235" spans="1:7" x14ac:dyDescent="0.3">
      <c r="A235" s="25"/>
      <c r="B235" s="25"/>
      <c r="C235" s="25"/>
      <c r="D235" s="25"/>
      <c r="E235" s="25"/>
      <c r="F235" s="35"/>
      <c r="G235" s="35"/>
    </row>
    <row r="236" spans="1:7" x14ac:dyDescent="0.3">
      <c r="A236" s="25"/>
      <c r="B236" s="25"/>
      <c r="C236" s="25"/>
      <c r="D236" s="25"/>
      <c r="E236" s="25"/>
      <c r="F236" s="35"/>
      <c r="G236" s="35"/>
    </row>
    <row r="237" spans="1:7" x14ac:dyDescent="0.3">
      <c r="A237" s="25"/>
      <c r="B237" s="25"/>
      <c r="C237" s="25"/>
      <c r="D237" s="25"/>
      <c r="E237" s="25"/>
      <c r="F237" s="35"/>
      <c r="G237" s="35"/>
    </row>
    <row r="238" spans="1:7" x14ac:dyDescent="0.3">
      <c r="A238" s="25"/>
      <c r="B238" s="25"/>
      <c r="C238" s="25"/>
      <c r="D238" s="25"/>
      <c r="E238" s="25"/>
      <c r="F238" s="35"/>
      <c r="G238" s="35"/>
    </row>
    <row r="239" spans="1:7" x14ac:dyDescent="0.3">
      <c r="A239" s="25"/>
      <c r="B239" s="25"/>
      <c r="C239" s="25"/>
      <c r="D239" s="25"/>
      <c r="E239" s="25"/>
      <c r="F239" s="35"/>
      <c r="G239" s="35"/>
    </row>
    <row r="240" spans="1:7" x14ac:dyDescent="0.3">
      <c r="A240" s="25"/>
      <c r="B240" s="25"/>
      <c r="C240" s="25"/>
      <c r="D240" s="25"/>
      <c r="E240" s="25"/>
      <c r="F240" s="35"/>
      <c r="G240" s="35"/>
    </row>
    <row r="241" spans="1:7" x14ac:dyDescent="0.3">
      <c r="A241" s="25"/>
      <c r="B241" s="25"/>
      <c r="C241" s="25"/>
      <c r="D241" s="25"/>
      <c r="E241" s="25"/>
      <c r="F241" s="35"/>
      <c r="G241" s="35"/>
    </row>
    <row r="242" spans="1:7" x14ac:dyDescent="0.3">
      <c r="A242" s="25"/>
      <c r="B242" s="25"/>
      <c r="C242" s="25"/>
      <c r="D242" s="25"/>
      <c r="E242" s="25"/>
      <c r="F242" s="35"/>
      <c r="G242" s="35"/>
    </row>
    <row r="243" spans="1:7" x14ac:dyDescent="0.3">
      <c r="A243" s="25"/>
      <c r="B243" s="25"/>
      <c r="C243" s="25"/>
      <c r="D243" s="25"/>
      <c r="E243" s="25"/>
      <c r="F243" s="35"/>
      <c r="G243" s="35"/>
    </row>
    <row r="244" spans="1:7" x14ac:dyDescent="0.3">
      <c r="A244" s="25"/>
      <c r="B244" s="25"/>
      <c r="C244" s="25"/>
      <c r="D244" s="25"/>
      <c r="E244" s="25"/>
      <c r="F244" s="35"/>
      <c r="G244" s="35"/>
    </row>
    <row r="245" spans="1:7" x14ac:dyDescent="0.3">
      <c r="A245" s="25"/>
      <c r="B245" s="25"/>
      <c r="C245" s="25"/>
      <c r="D245" s="25"/>
      <c r="E245" s="25"/>
      <c r="F245" s="35"/>
      <c r="G245" s="35"/>
    </row>
    <row r="246" spans="1:7" x14ac:dyDescent="0.3">
      <c r="A246" s="25"/>
      <c r="B246" s="25"/>
      <c r="C246" s="25"/>
      <c r="D246" s="25"/>
      <c r="E246" s="25"/>
      <c r="F246" s="35"/>
      <c r="G246" s="35"/>
    </row>
    <row r="247" spans="1:7" x14ac:dyDescent="0.3">
      <c r="A247" s="25"/>
      <c r="B247" s="25"/>
      <c r="C247" s="25"/>
      <c r="D247" s="25"/>
      <c r="E247" s="25"/>
      <c r="F247" s="35"/>
      <c r="G247" s="35"/>
    </row>
    <row r="248" spans="1:7" x14ac:dyDescent="0.3">
      <c r="A248" s="25"/>
      <c r="B248" s="25"/>
      <c r="C248" s="25"/>
      <c r="D248" s="25"/>
      <c r="E248" s="25"/>
      <c r="F248" s="35"/>
      <c r="G248" s="35"/>
    </row>
    <row r="249" spans="1:7" x14ac:dyDescent="0.3">
      <c r="A249" s="25"/>
      <c r="B249" s="25"/>
      <c r="C249" s="25"/>
      <c r="D249" s="25"/>
      <c r="E249" s="25"/>
      <c r="F249" s="35"/>
      <c r="G249" s="35"/>
    </row>
    <row r="250" spans="1:7" x14ac:dyDescent="0.3">
      <c r="A250" s="25"/>
      <c r="B250" s="25"/>
      <c r="C250" s="25"/>
      <c r="D250" s="25"/>
      <c r="E250" s="25"/>
      <c r="F250" s="35"/>
      <c r="G250" s="35"/>
    </row>
    <row r="251" spans="1:7" x14ac:dyDescent="0.3">
      <c r="A251" s="25"/>
      <c r="B251" s="25"/>
      <c r="C251" s="25"/>
      <c r="D251" s="25"/>
      <c r="E251" s="25"/>
      <c r="F251" s="35"/>
      <c r="G251" s="35"/>
    </row>
    <row r="252" spans="1:7" x14ac:dyDescent="0.3">
      <c r="A252" s="25"/>
      <c r="B252" s="25"/>
      <c r="C252" s="25"/>
      <c r="D252" s="25"/>
      <c r="E252" s="25"/>
      <c r="F252" s="35"/>
      <c r="G252" s="35"/>
    </row>
    <row r="253" spans="1:7" x14ac:dyDescent="0.3">
      <c r="A253" s="25"/>
      <c r="B253" s="25"/>
      <c r="C253" s="25"/>
      <c r="D253" s="25"/>
      <c r="E253" s="25"/>
      <c r="F253" s="35"/>
      <c r="G253" s="35"/>
    </row>
    <row r="254" spans="1:7" x14ac:dyDescent="0.3">
      <c r="A254" s="25"/>
      <c r="B254" s="25"/>
      <c r="C254" s="25"/>
      <c r="D254" s="25"/>
      <c r="E254" s="25"/>
      <c r="F254" s="35"/>
      <c r="G254" s="35"/>
    </row>
    <row r="255" spans="1:7" x14ac:dyDescent="0.3">
      <c r="A255" s="25"/>
      <c r="B255" s="25"/>
      <c r="C255" s="25"/>
      <c r="D255" s="25"/>
      <c r="E255" s="25"/>
      <c r="F255" s="35"/>
      <c r="G255" s="35"/>
    </row>
    <row r="256" spans="1:7" x14ac:dyDescent="0.3">
      <c r="A256" s="25"/>
      <c r="B256" s="25"/>
      <c r="C256" s="25"/>
      <c r="D256" s="25"/>
      <c r="E256" s="25"/>
      <c r="F256" s="35"/>
      <c r="G256" s="35"/>
    </row>
    <row r="257" spans="1:7" x14ac:dyDescent="0.3">
      <c r="A257" s="25"/>
      <c r="B257" s="25"/>
      <c r="C257" s="25"/>
      <c r="D257" s="25"/>
      <c r="E257" s="25"/>
      <c r="F257" s="35"/>
      <c r="G257" s="35"/>
    </row>
    <row r="258" spans="1:7" x14ac:dyDescent="0.3">
      <c r="A258" s="25"/>
      <c r="B258" s="25"/>
      <c r="C258" s="25"/>
      <c r="D258" s="25"/>
      <c r="E258" s="25"/>
      <c r="F258" s="35"/>
      <c r="G258" s="35"/>
    </row>
    <row r="259" spans="1:7" x14ac:dyDescent="0.3">
      <c r="A259" s="25"/>
      <c r="B259" s="25"/>
      <c r="C259" s="25"/>
      <c r="D259" s="25"/>
      <c r="E259" s="25"/>
      <c r="F259" s="35"/>
      <c r="G259" s="35"/>
    </row>
    <row r="260" spans="1:7" x14ac:dyDescent="0.3">
      <c r="A260" s="25"/>
      <c r="B260" s="25"/>
      <c r="C260" s="25"/>
      <c r="D260" s="25"/>
      <c r="E260" s="25"/>
      <c r="F260" s="35"/>
      <c r="G260" s="35"/>
    </row>
    <row r="261" spans="1:7" x14ac:dyDescent="0.3">
      <c r="A261" s="25"/>
      <c r="B261" s="25"/>
      <c r="C261" s="25"/>
      <c r="D261" s="25"/>
      <c r="E261" s="25"/>
      <c r="F261" s="35"/>
      <c r="G261" s="35"/>
    </row>
    <row r="262" spans="1:7" x14ac:dyDescent="0.3">
      <c r="A262" s="25"/>
      <c r="B262" s="25"/>
      <c r="C262" s="25"/>
      <c r="D262" s="25"/>
      <c r="E262" s="25"/>
      <c r="F262" s="35"/>
      <c r="G262" s="35"/>
    </row>
    <row r="263" spans="1:7" x14ac:dyDescent="0.3">
      <c r="A263" s="25"/>
      <c r="B263" s="25"/>
      <c r="C263" s="25"/>
      <c r="D263" s="25"/>
      <c r="E263" s="25"/>
      <c r="F263" s="35"/>
      <c r="G263" s="35"/>
    </row>
    <row r="264" spans="1:7" x14ac:dyDescent="0.3">
      <c r="A264" s="25"/>
      <c r="B264" s="25"/>
      <c r="C264" s="25"/>
      <c r="D264" s="25"/>
      <c r="E264" s="25"/>
      <c r="F264" s="35"/>
      <c r="G264" s="35"/>
    </row>
    <row r="265" spans="1:7" x14ac:dyDescent="0.3">
      <c r="A265" s="25"/>
      <c r="B265" s="25"/>
      <c r="C265" s="25"/>
      <c r="D265" s="25"/>
      <c r="E265" s="25"/>
      <c r="F265" s="35"/>
      <c r="G265" s="35"/>
    </row>
    <row r="266" spans="1:7" x14ac:dyDescent="0.3">
      <c r="A266" s="25"/>
      <c r="B266" s="25"/>
      <c r="C266" s="25"/>
      <c r="D266" s="25"/>
      <c r="E266" s="25"/>
      <c r="F266" s="35"/>
      <c r="G266" s="35"/>
    </row>
    <row r="267" spans="1:7" x14ac:dyDescent="0.3">
      <c r="A267" s="25"/>
      <c r="B267" s="25"/>
      <c r="C267" s="25"/>
      <c r="D267" s="25"/>
      <c r="E267" s="25"/>
      <c r="F267" s="35"/>
      <c r="G267" s="35"/>
    </row>
    <row r="268" spans="1:7" x14ac:dyDescent="0.3">
      <c r="A268" s="25"/>
      <c r="B268" s="25"/>
      <c r="C268" s="25"/>
      <c r="D268" s="25"/>
      <c r="E268" s="25"/>
      <c r="F268" s="35"/>
      <c r="G268" s="35"/>
    </row>
    <row r="269" spans="1:7" x14ac:dyDescent="0.3">
      <c r="A269" s="25"/>
      <c r="B269" s="25"/>
      <c r="C269" s="25"/>
      <c r="D269" s="25"/>
      <c r="E269" s="25"/>
      <c r="F269" s="35"/>
      <c r="G269" s="35"/>
    </row>
    <row r="270" spans="1:7" x14ac:dyDescent="0.3">
      <c r="A270" s="25"/>
      <c r="B270" s="25"/>
      <c r="C270" s="25"/>
      <c r="D270" s="25"/>
      <c r="E270" s="25"/>
      <c r="F270" s="35"/>
      <c r="G270" s="35"/>
    </row>
    <row r="271" spans="1:7" x14ac:dyDescent="0.3">
      <c r="A271" s="25"/>
      <c r="B271" s="25"/>
      <c r="C271" s="25"/>
      <c r="D271" s="25"/>
      <c r="E271" s="25"/>
      <c r="F271" s="35"/>
      <c r="G271" s="35"/>
    </row>
    <row r="272" spans="1:7" x14ac:dyDescent="0.3">
      <c r="A272" s="25"/>
      <c r="B272" s="25"/>
      <c r="C272" s="25"/>
      <c r="D272" s="25"/>
      <c r="E272" s="25"/>
      <c r="F272" s="35"/>
      <c r="G272" s="35"/>
    </row>
    <row r="273" spans="1:7" x14ac:dyDescent="0.3">
      <c r="A273" s="25"/>
      <c r="B273" s="25"/>
      <c r="C273" s="25"/>
      <c r="D273" s="25"/>
      <c r="E273" s="25"/>
      <c r="F273" s="35"/>
      <c r="G273" s="35"/>
    </row>
    <row r="274" spans="1:7" x14ac:dyDescent="0.3">
      <c r="A274" s="25"/>
      <c r="B274" s="25"/>
      <c r="C274" s="25"/>
      <c r="D274" s="25"/>
      <c r="E274" s="25"/>
      <c r="F274" s="35"/>
      <c r="G274" s="35"/>
    </row>
    <row r="275" spans="1:7" x14ac:dyDescent="0.3">
      <c r="A275" s="25"/>
      <c r="B275" s="25"/>
      <c r="C275" s="25"/>
      <c r="D275" s="25"/>
      <c r="E275" s="25"/>
      <c r="F275" s="35"/>
      <c r="G275" s="35"/>
    </row>
    <row r="276" spans="1:7" x14ac:dyDescent="0.3">
      <c r="A276" s="25"/>
      <c r="B276" s="25"/>
      <c r="C276" s="25"/>
      <c r="D276" s="25"/>
      <c r="E276" s="25"/>
      <c r="F276" s="35"/>
      <c r="G276" s="35"/>
    </row>
    <row r="277" spans="1:7" x14ac:dyDescent="0.3">
      <c r="A277" s="25"/>
      <c r="B277" s="25"/>
      <c r="C277" s="25"/>
      <c r="D277" s="25"/>
      <c r="E277" s="25"/>
      <c r="F277" s="35"/>
      <c r="G277" s="35"/>
    </row>
    <row r="278" spans="1:7" x14ac:dyDescent="0.3">
      <c r="A278" s="25"/>
      <c r="B278" s="25"/>
      <c r="C278" s="25"/>
      <c r="D278" s="25"/>
      <c r="E278" s="25"/>
      <c r="F278" s="35"/>
      <c r="G278" s="35"/>
    </row>
    <row r="279" spans="1:7" x14ac:dyDescent="0.3">
      <c r="A279" s="25"/>
      <c r="B279" s="25"/>
      <c r="C279" s="25"/>
      <c r="D279" s="25"/>
      <c r="E279" s="25"/>
      <c r="F279" s="35"/>
      <c r="G279" s="35"/>
    </row>
    <row r="280" spans="1:7" x14ac:dyDescent="0.3">
      <c r="A280" s="25"/>
      <c r="B280" s="25"/>
      <c r="C280" s="25"/>
      <c r="D280" s="25"/>
      <c r="E280" s="25"/>
      <c r="F280" s="35"/>
      <c r="G280" s="35"/>
    </row>
    <row r="281" spans="1:7" x14ac:dyDescent="0.3">
      <c r="A281" s="25"/>
      <c r="B281" s="25"/>
      <c r="C281" s="25"/>
      <c r="D281" s="25"/>
      <c r="E281" s="25"/>
      <c r="F281" s="35"/>
      <c r="G281" s="35"/>
    </row>
    <row r="282" spans="1:7" x14ac:dyDescent="0.3">
      <c r="A282" s="25"/>
      <c r="B282" s="25"/>
      <c r="C282" s="25"/>
      <c r="D282" s="25"/>
      <c r="E282" s="25"/>
      <c r="F282" s="35"/>
      <c r="G282" s="35"/>
    </row>
    <row r="283" spans="1:7" x14ac:dyDescent="0.3">
      <c r="A283" s="25"/>
      <c r="B283" s="25"/>
      <c r="C283" s="25"/>
      <c r="D283" s="25"/>
      <c r="E283" s="25"/>
      <c r="F283" s="35"/>
      <c r="G283" s="35"/>
    </row>
    <row r="284" spans="1:7" x14ac:dyDescent="0.3">
      <c r="A284" s="25"/>
      <c r="B284" s="25"/>
      <c r="C284" s="25"/>
      <c r="D284" s="25"/>
      <c r="E284" s="25"/>
      <c r="F284" s="35"/>
      <c r="G284" s="35"/>
    </row>
    <row r="285" spans="1:7" x14ac:dyDescent="0.3">
      <c r="A285" s="25"/>
      <c r="B285" s="25"/>
      <c r="C285" s="25"/>
      <c r="D285" s="25"/>
      <c r="E285" s="25"/>
      <c r="F285" s="35"/>
      <c r="G285" s="35"/>
    </row>
    <row r="286" spans="1:7" x14ac:dyDescent="0.3">
      <c r="A286" s="25"/>
      <c r="B286" s="25"/>
      <c r="C286" s="25"/>
      <c r="D286" s="25"/>
      <c r="E286" s="25"/>
      <c r="F286" s="35"/>
      <c r="G286" s="35"/>
    </row>
    <row r="287" spans="1:7" x14ac:dyDescent="0.3">
      <c r="A287" s="25"/>
      <c r="B287" s="25"/>
      <c r="C287" s="25"/>
      <c r="D287" s="25"/>
      <c r="E287" s="25"/>
      <c r="F287" s="35"/>
      <c r="G287" s="35"/>
    </row>
    <row r="288" spans="1:7" x14ac:dyDescent="0.3">
      <c r="A288" s="25"/>
      <c r="B288" s="25"/>
      <c r="C288" s="25"/>
      <c r="D288" s="25"/>
      <c r="E288" s="25"/>
      <c r="F288" s="35"/>
      <c r="G288" s="35"/>
    </row>
    <row r="289" spans="1:7" x14ac:dyDescent="0.3">
      <c r="A289" s="25"/>
      <c r="B289" s="25"/>
      <c r="C289" s="25"/>
      <c r="D289" s="25"/>
      <c r="E289" s="25"/>
      <c r="F289" s="35"/>
      <c r="G289" s="35"/>
    </row>
    <row r="290" spans="1:7" x14ac:dyDescent="0.3">
      <c r="A290" s="25"/>
      <c r="B290" s="25"/>
      <c r="C290" s="25"/>
      <c r="D290" s="25"/>
      <c r="E290" s="25"/>
      <c r="F290" s="35"/>
      <c r="G290" s="35"/>
    </row>
    <row r="291" spans="1:7" x14ac:dyDescent="0.3">
      <c r="A291" s="25"/>
      <c r="B291" s="25"/>
      <c r="C291" s="25"/>
      <c r="D291" s="25"/>
      <c r="E291" s="25"/>
      <c r="F291" s="35"/>
      <c r="G291" s="35"/>
    </row>
    <row r="292" spans="1:7" x14ac:dyDescent="0.3">
      <c r="A292" s="25"/>
      <c r="B292" s="25"/>
      <c r="C292" s="25"/>
      <c r="D292" s="25"/>
      <c r="E292" s="25"/>
      <c r="F292" s="35"/>
      <c r="G292" s="35"/>
    </row>
    <row r="293" spans="1:7" x14ac:dyDescent="0.3">
      <c r="A293" s="25"/>
      <c r="B293" s="25"/>
      <c r="C293" s="25"/>
      <c r="D293" s="25"/>
      <c r="E293" s="25"/>
      <c r="F293" s="35"/>
      <c r="G293" s="35"/>
    </row>
    <row r="294" spans="1:7" x14ac:dyDescent="0.3">
      <c r="A294" s="25"/>
      <c r="B294" s="25"/>
      <c r="C294" s="25"/>
      <c r="D294" s="25"/>
      <c r="E294" s="25"/>
      <c r="F294" s="35"/>
      <c r="G294" s="35"/>
    </row>
    <row r="295" spans="1:7" x14ac:dyDescent="0.3">
      <c r="A295" s="25"/>
      <c r="B295" s="25"/>
      <c r="C295" s="25"/>
      <c r="D295" s="25"/>
      <c r="E295" s="25"/>
      <c r="F295" s="35"/>
      <c r="G295" s="35"/>
    </row>
    <row r="296" spans="1:7" x14ac:dyDescent="0.3">
      <c r="A296" s="25"/>
      <c r="B296" s="25"/>
      <c r="C296" s="25"/>
      <c r="D296" s="25"/>
      <c r="E296" s="25"/>
      <c r="F296" s="35"/>
      <c r="G296" s="35"/>
    </row>
    <row r="297" spans="1:7" x14ac:dyDescent="0.3">
      <c r="A297" s="25"/>
      <c r="B297" s="25"/>
      <c r="C297" s="25"/>
      <c r="D297" s="25"/>
      <c r="E297" s="25"/>
      <c r="F297" s="35"/>
      <c r="G297" s="35"/>
    </row>
    <row r="298" spans="1:7" x14ac:dyDescent="0.3">
      <c r="A298" s="25"/>
      <c r="B298" s="25"/>
      <c r="C298" s="25"/>
      <c r="D298" s="25"/>
      <c r="E298" s="25"/>
      <c r="F298" s="35"/>
      <c r="G298" s="35"/>
    </row>
    <row r="299" spans="1:7" x14ac:dyDescent="0.3">
      <c r="A299" s="25"/>
      <c r="B299" s="25"/>
      <c r="C299" s="25"/>
      <c r="D299" s="25"/>
      <c r="E299" s="25"/>
      <c r="F299" s="35"/>
      <c r="G299" s="35"/>
    </row>
    <row r="300" spans="1:7" x14ac:dyDescent="0.3">
      <c r="A300" s="25"/>
      <c r="B300" s="25"/>
      <c r="C300" s="25"/>
      <c r="D300" s="25"/>
      <c r="E300" s="25"/>
      <c r="F300" s="35"/>
      <c r="G300" s="35"/>
    </row>
    <row r="301" spans="1:7" x14ac:dyDescent="0.3">
      <c r="A301" s="25"/>
      <c r="B301" s="25"/>
      <c r="C301" s="25"/>
      <c r="D301" s="25"/>
      <c r="E301" s="25"/>
      <c r="F301" s="35"/>
      <c r="G301" s="35"/>
    </row>
    <row r="302" spans="1:7" x14ac:dyDescent="0.3">
      <c r="A302" s="25"/>
      <c r="B302" s="25"/>
      <c r="C302" s="25"/>
      <c r="D302" s="25"/>
      <c r="E302" s="25"/>
      <c r="F302" s="35"/>
      <c r="G302" s="35"/>
    </row>
    <row r="303" spans="1:7" x14ac:dyDescent="0.3">
      <c r="A303" s="25"/>
      <c r="B303" s="25"/>
      <c r="C303" s="25"/>
      <c r="D303" s="25"/>
      <c r="E303" s="25"/>
      <c r="F303" s="35"/>
      <c r="G303" s="35"/>
    </row>
    <row r="304" spans="1:7" x14ac:dyDescent="0.3">
      <c r="A304" s="25"/>
      <c r="B304" s="25"/>
      <c r="C304" s="25"/>
      <c r="D304" s="25"/>
      <c r="E304" s="25"/>
      <c r="F304" s="35"/>
      <c r="G304" s="35"/>
    </row>
    <row r="305" spans="1:7" x14ac:dyDescent="0.3">
      <c r="A305" s="25"/>
      <c r="B305" s="25"/>
      <c r="C305" s="25"/>
      <c r="D305" s="25"/>
      <c r="E305" s="25"/>
      <c r="F305" s="35"/>
      <c r="G305" s="35"/>
    </row>
    <row r="306" spans="1:7" x14ac:dyDescent="0.3">
      <c r="A306" s="25"/>
      <c r="B306" s="25"/>
      <c r="C306" s="25"/>
      <c r="D306" s="25"/>
      <c r="E306" s="25"/>
      <c r="F306" s="35"/>
      <c r="G306" s="35"/>
    </row>
    <row r="307" spans="1:7" x14ac:dyDescent="0.3">
      <c r="A307" s="25"/>
      <c r="B307" s="25"/>
      <c r="C307" s="25"/>
      <c r="D307" s="25"/>
      <c r="E307" s="25"/>
      <c r="F307" s="35"/>
      <c r="G307" s="35"/>
    </row>
    <row r="308" spans="1:7" x14ac:dyDescent="0.3">
      <c r="A308" s="25"/>
      <c r="B308" s="25"/>
      <c r="C308" s="25"/>
      <c r="D308" s="25"/>
      <c r="E308" s="25"/>
      <c r="F308" s="35"/>
      <c r="G308" s="35"/>
    </row>
    <row r="309" spans="1:7" x14ac:dyDescent="0.3">
      <c r="A309" s="25"/>
      <c r="B309" s="25"/>
      <c r="C309" s="25"/>
      <c r="D309" s="25"/>
      <c r="E309" s="25"/>
      <c r="F309" s="35"/>
      <c r="G309" s="35"/>
    </row>
    <row r="310" spans="1:7" x14ac:dyDescent="0.3">
      <c r="A310" s="25"/>
      <c r="B310" s="25"/>
      <c r="C310" s="25"/>
      <c r="D310" s="25"/>
      <c r="E310" s="25"/>
      <c r="F310" s="35"/>
      <c r="G310" s="35"/>
    </row>
    <row r="311" spans="1:7" x14ac:dyDescent="0.3">
      <c r="A311" s="25"/>
      <c r="B311" s="25"/>
      <c r="C311" s="25"/>
      <c r="D311" s="25"/>
      <c r="E311" s="25"/>
      <c r="F311" s="35"/>
      <c r="G311" s="35"/>
    </row>
    <row r="312" spans="1:7" x14ac:dyDescent="0.3">
      <c r="A312" s="25"/>
      <c r="B312" s="25"/>
      <c r="C312" s="25"/>
      <c r="D312" s="25"/>
      <c r="E312" s="25"/>
      <c r="F312" s="35"/>
      <c r="G312" s="35"/>
    </row>
    <row r="313" spans="1:7" x14ac:dyDescent="0.3">
      <c r="A313" s="25"/>
      <c r="B313" s="25"/>
      <c r="C313" s="25"/>
      <c r="D313" s="25"/>
      <c r="E313" s="25"/>
      <c r="F313" s="35"/>
      <c r="G313" s="35"/>
    </row>
    <row r="314" spans="1:7" x14ac:dyDescent="0.3">
      <c r="A314" s="25"/>
      <c r="B314" s="25"/>
      <c r="C314" s="25"/>
      <c r="D314" s="25"/>
      <c r="E314" s="25"/>
      <c r="F314" s="35"/>
      <c r="G314" s="35"/>
    </row>
    <row r="315" spans="1:7" x14ac:dyDescent="0.3">
      <c r="A315" s="25"/>
      <c r="B315" s="25"/>
      <c r="C315" s="25"/>
      <c r="D315" s="25"/>
      <c r="E315" s="25"/>
      <c r="F315" s="35"/>
      <c r="G315" s="35"/>
    </row>
    <row r="316" spans="1:7" x14ac:dyDescent="0.3">
      <c r="A316" s="25"/>
      <c r="B316" s="25"/>
      <c r="C316" s="25"/>
      <c r="D316" s="25"/>
      <c r="E316" s="25"/>
      <c r="F316" s="35"/>
      <c r="G316" s="35"/>
    </row>
    <row r="317" spans="1:7" x14ac:dyDescent="0.3">
      <c r="A317" s="25"/>
      <c r="B317" s="25"/>
      <c r="C317" s="25"/>
      <c r="D317" s="25"/>
      <c r="E317" s="25"/>
      <c r="F317" s="35"/>
      <c r="G317" s="35"/>
    </row>
    <row r="318" spans="1:7" x14ac:dyDescent="0.3">
      <c r="A318" s="25"/>
      <c r="B318" s="25"/>
      <c r="C318" s="25"/>
      <c r="D318" s="25"/>
      <c r="E318" s="25"/>
      <c r="F318" s="35"/>
      <c r="G318" s="35"/>
    </row>
    <row r="319" spans="1:7" x14ac:dyDescent="0.3">
      <c r="A319" s="25"/>
      <c r="B319" s="25"/>
      <c r="C319" s="25"/>
      <c r="D319" s="25"/>
      <c r="E319" s="25"/>
      <c r="F319" s="35"/>
      <c r="G319" s="35"/>
    </row>
    <row r="320" spans="1:7" x14ac:dyDescent="0.3">
      <c r="A320" s="25"/>
      <c r="B320" s="25"/>
      <c r="C320" s="25"/>
      <c r="D320" s="25"/>
      <c r="E320" s="25"/>
      <c r="F320" s="35"/>
      <c r="G320" s="35"/>
    </row>
    <row r="321" spans="1:7" x14ac:dyDescent="0.3">
      <c r="A321" s="25"/>
      <c r="B321" s="25"/>
      <c r="C321" s="25"/>
      <c r="D321" s="25"/>
      <c r="E321" s="25"/>
      <c r="F321" s="35"/>
      <c r="G321" s="35"/>
    </row>
    <row r="322" spans="1:7" x14ac:dyDescent="0.3">
      <c r="A322" s="25"/>
      <c r="B322" s="25"/>
      <c r="C322" s="25"/>
      <c r="D322" s="25"/>
      <c r="E322" s="25"/>
      <c r="F322" s="35"/>
      <c r="G322" s="35"/>
    </row>
    <row r="323" spans="1:7" x14ac:dyDescent="0.3">
      <c r="A323" s="25"/>
      <c r="B323" s="25"/>
      <c r="C323" s="25"/>
      <c r="D323" s="25"/>
      <c r="E323" s="25"/>
      <c r="F323" s="35"/>
      <c r="G323" s="35"/>
    </row>
    <row r="324" spans="1:7" x14ac:dyDescent="0.3">
      <c r="A324" s="25"/>
      <c r="B324" s="25"/>
      <c r="C324" s="25"/>
      <c r="D324" s="25"/>
      <c r="E324" s="25"/>
      <c r="F324" s="35"/>
      <c r="G324" s="35"/>
    </row>
    <row r="325" spans="1:7" x14ac:dyDescent="0.3">
      <c r="A325" s="25"/>
      <c r="B325" s="25"/>
      <c r="C325" s="25"/>
      <c r="D325" s="25"/>
      <c r="E325" s="25"/>
      <c r="F325" s="35"/>
      <c r="G325" s="35"/>
    </row>
    <row r="326" spans="1:7" x14ac:dyDescent="0.3">
      <c r="A326" s="25"/>
      <c r="B326" s="25"/>
      <c r="C326" s="25"/>
      <c r="D326" s="25"/>
      <c r="E326" s="25"/>
      <c r="F326" s="35"/>
      <c r="G326" s="35"/>
    </row>
    <row r="327" spans="1:7" x14ac:dyDescent="0.3">
      <c r="A327" s="25"/>
      <c r="B327" s="25"/>
      <c r="C327" s="25"/>
      <c r="D327" s="25"/>
      <c r="E327" s="25"/>
      <c r="F327" s="35"/>
      <c r="G327" s="35"/>
    </row>
    <row r="328" spans="1:7" x14ac:dyDescent="0.3">
      <c r="A328" s="25"/>
      <c r="B328" s="25"/>
      <c r="C328" s="25"/>
      <c r="D328" s="25"/>
      <c r="E328" s="25"/>
      <c r="F328" s="35"/>
      <c r="G328" s="35"/>
    </row>
    <row r="329" spans="1:7" x14ac:dyDescent="0.3">
      <c r="A329" s="25"/>
      <c r="B329" s="25"/>
      <c r="C329" s="25"/>
      <c r="D329" s="25"/>
      <c r="E329" s="25"/>
      <c r="F329" s="35"/>
      <c r="G329" s="35"/>
    </row>
    <row r="330" spans="1:7" x14ac:dyDescent="0.3">
      <c r="A330" s="25"/>
      <c r="B330" s="25"/>
      <c r="C330" s="25"/>
      <c r="D330" s="25"/>
      <c r="E330" s="25"/>
      <c r="F330" s="35"/>
      <c r="G330" s="35"/>
    </row>
    <row r="331" spans="1:7" x14ac:dyDescent="0.3">
      <c r="A331" s="25"/>
      <c r="B331" s="25"/>
      <c r="C331" s="25"/>
      <c r="D331" s="25"/>
      <c r="E331" s="25"/>
      <c r="F331" s="35"/>
      <c r="G331" s="35"/>
    </row>
    <row r="332" spans="1:7" x14ac:dyDescent="0.3">
      <c r="A332" s="25"/>
      <c r="B332" s="25"/>
      <c r="C332" s="25"/>
      <c r="D332" s="25"/>
      <c r="E332" s="25"/>
      <c r="F332" s="35"/>
      <c r="G332" s="35"/>
    </row>
    <row r="333" spans="1:7" x14ac:dyDescent="0.3">
      <c r="A333" s="25"/>
      <c r="B333" s="25"/>
      <c r="C333" s="25"/>
      <c r="D333" s="25"/>
      <c r="E333" s="25"/>
      <c r="F333" s="35"/>
      <c r="G333" s="35"/>
    </row>
    <row r="334" spans="1:7" x14ac:dyDescent="0.3">
      <c r="A334" s="25"/>
      <c r="B334" s="25"/>
      <c r="C334" s="25"/>
      <c r="D334" s="25"/>
      <c r="E334" s="25"/>
      <c r="F334" s="35"/>
      <c r="G334" s="35"/>
    </row>
    <row r="335" spans="1:7" x14ac:dyDescent="0.3">
      <c r="A335" s="25"/>
      <c r="B335" s="25"/>
      <c r="C335" s="25"/>
      <c r="D335" s="25"/>
      <c r="E335" s="25"/>
      <c r="F335" s="35"/>
      <c r="G335" s="35"/>
    </row>
    <row r="336" spans="1:7" x14ac:dyDescent="0.3">
      <c r="A336" s="25"/>
      <c r="B336" s="25"/>
      <c r="C336" s="25"/>
      <c r="D336" s="25"/>
      <c r="E336" s="25"/>
      <c r="F336" s="35"/>
      <c r="G336" s="35"/>
    </row>
    <row r="337" spans="1:7" x14ac:dyDescent="0.3">
      <c r="A337" s="25"/>
      <c r="B337" s="25"/>
      <c r="C337" s="25"/>
      <c r="D337" s="25"/>
      <c r="E337" s="25"/>
      <c r="F337" s="35"/>
      <c r="G337" s="35"/>
    </row>
    <row r="338" spans="1:7" x14ac:dyDescent="0.3">
      <c r="A338" s="25"/>
      <c r="B338" s="25"/>
      <c r="C338" s="25"/>
      <c r="D338" s="25"/>
      <c r="E338" s="25"/>
      <c r="F338" s="35"/>
      <c r="G338" s="35"/>
    </row>
    <row r="339" spans="1:7" x14ac:dyDescent="0.3">
      <c r="A339" s="25"/>
      <c r="B339" s="25"/>
      <c r="C339" s="25"/>
      <c r="D339" s="25"/>
      <c r="E339" s="25"/>
      <c r="F339" s="35"/>
      <c r="G339" s="35"/>
    </row>
    <row r="340" spans="1:7" x14ac:dyDescent="0.3">
      <c r="A340" s="25"/>
      <c r="B340" s="25"/>
      <c r="C340" s="25"/>
      <c r="D340" s="25"/>
      <c r="E340" s="25"/>
      <c r="F340" s="35"/>
      <c r="G340" s="35"/>
    </row>
    <row r="341" spans="1:7" x14ac:dyDescent="0.3">
      <c r="A341" s="25"/>
      <c r="B341" s="25"/>
      <c r="C341" s="25"/>
      <c r="D341" s="25"/>
      <c r="E341" s="25"/>
      <c r="F341" s="35"/>
      <c r="G341" s="35"/>
    </row>
    <row r="342" spans="1:7" x14ac:dyDescent="0.3">
      <c r="A342" s="25"/>
      <c r="B342" s="25"/>
      <c r="C342" s="25"/>
      <c r="D342" s="25"/>
      <c r="E342" s="25"/>
      <c r="F342" s="35"/>
      <c r="G342" s="35"/>
    </row>
    <row r="343" spans="1:7" x14ac:dyDescent="0.3">
      <c r="A343" s="25"/>
      <c r="B343" s="25"/>
      <c r="C343" s="25"/>
      <c r="D343" s="25"/>
      <c r="E343" s="25"/>
      <c r="F343" s="35"/>
      <c r="G343" s="35"/>
    </row>
    <row r="344" spans="1:7" x14ac:dyDescent="0.3">
      <c r="A344" s="25"/>
      <c r="B344" s="25"/>
      <c r="C344" s="25"/>
      <c r="D344" s="25"/>
      <c r="E344" s="25"/>
      <c r="F344" s="35"/>
      <c r="G344" s="35"/>
    </row>
    <row r="345" spans="1:7" x14ac:dyDescent="0.3">
      <c r="A345" s="25"/>
      <c r="B345" s="25"/>
      <c r="C345" s="25"/>
      <c r="D345" s="25"/>
      <c r="E345" s="25"/>
      <c r="F345" s="35"/>
      <c r="G345" s="35"/>
    </row>
    <row r="346" spans="1:7" x14ac:dyDescent="0.3">
      <c r="A346" s="25"/>
      <c r="B346" s="25"/>
      <c r="C346" s="25"/>
      <c r="D346" s="25"/>
      <c r="E346" s="25"/>
      <c r="F346" s="35"/>
      <c r="G346" s="35"/>
    </row>
    <row r="347" spans="1:7" x14ac:dyDescent="0.3">
      <c r="A347" s="25"/>
      <c r="B347" s="25"/>
      <c r="C347" s="25"/>
      <c r="D347" s="25"/>
      <c r="E347" s="25"/>
      <c r="F347" s="35"/>
      <c r="G347" s="35"/>
    </row>
    <row r="348" spans="1:7" x14ac:dyDescent="0.3">
      <c r="A348" s="25"/>
      <c r="B348" s="25"/>
      <c r="C348" s="25"/>
      <c r="D348" s="25"/>
      <c r="E348" s="25"/>
      <c r="F348" s="35"/>
      <c r="G348" s="35"/>
    </row>
    <row r="349" spans="1:7" x14ac:dyDescent="0.3">
      <c r="A349" s="25"/>
      <c r="B349" s="25"/>
      <c r="C349" s="25"/>
      <c r="D349" s="25"/>
      <c r="E349" s="25"/>
      <c r="F349" s="35"/>
      <c r="G349" s="35"/>
    </row>
    <row r="350" spans="1:7" x14ac:dyDescent="0.3">
      <c r="A350" s="25"/>
      <c r="B350" s="25"/>
      <c r="C350" s="25"/>
      <c r="D350" s="25"/>
      <c r="E350" s="25"/>
      <c r="F350" s="35"/>
      <c r="G350" s="35"/>
    </row>
    <row r="351" spans="1:7" x14ac:dyDescent="0.3">
      <c r="A351" s="25"/>
      <c r="B351" s="25"/>
      <c r="C351" s="25"/>
      <c r="D351" s="25"/>
      <c r="E351" s="25"/>
      <c r="F351" s="35"/>
      <c r="G351" s="35"/>
    </row>
    <row r="352" spans="1:7" x14ac:dyDescent="0.3">
      <c r="A352" s="25"/>
      <c r="B352" s="25"/>
      <c r="C352" s="25"/>
      <c r="D352" s="25"/>
      <c r="E352" s="25"/>
      <c r="F352" s="35"/>
      <c r="G352" s="35"/>
    </row>
    <row r="353" spans="1:7" x14ac:dyDescent="0.3">
      <c r="A353" s="25"/>
      <c r="B353" s="25"/>
      <c r="C353" s="25"/>
      <c r="D353" s="25"/>
      <c r="E353" s="25"/>
      <c r="F353" s="35"/>
      <c r="G353" s="35"/>
    </row>
    <row r="354" spans="1:7" x14ac:dyDescent="0.3">
      <c r="A354" s="25"/>
      <c r="B354" s="25"/>
      <c r="C354" s="25"/>
      <c r="D354" s="25"/>
      <c r="E354" s="25"/>
      <c r="F354" s="35"/>
      <c r="G354" s="35"/>
    </row>
    <row r="355" spans="1:7" x14ac:dyDescent="0.3">
      <c r="A355" s="25"/>
      <c r="B355" s="25"/>
      <c r="C355" s="25"/>
      <c r="D355" s="25"/>
      <c r="E355" s="25"/>
      <c r="F355" s="35"/>
      <c r="G355" s="35"/>
    </row>
    <row r="356" spans="1:7" x14ac:dyDescent="0.3">
      <c r="A356" s="25"/>
      <c r="B356" s="25"/>
      <c r="C356" s="25"/>
      <c r="D356" s="25"/>
      <c r="E356" s="25"/>
      <c r="F356" s="35"/>
      <c r="G356" s="35"/>
    </row>
    <row r="357" spans="1:7" x14ac:dyDescent="0.3">
      <c r="A357" s="25"/>
      <c r="B357" s="25"/>
      <c r="C357" s="25"/>
      <c r="D357" s="25"/>
      <c r="E357" s="25"/>
      <c r="F357" s="35"/>
      <c r="G357" s="35"/>
    </row>
    <row r="358" spans="1:7" x14ac:dyDescent="0.3">
      <c r="A358" s="25"/>
      <c r="B358" s="25"/>
      <c r="C358" s="25"/>
      <c r="D358" s="25"/>
      <c r="E358" s="25"/>
      <c r="F358" s="35"/>
      <c r="G358" s="35"/>
    </row>
    <row r="359" spans="1:7" x14ac:dyDescent="0.3">
      <c r="A359" s="25"/>
      <c r="B359" s="25"/>
      <c r="C359" s="25"/>
      <c r="D359" s="25"/>
      <c r="E359" s="25"/>
      <c r="F359" s="35"/>
      <c r="G359" s="35"/>
    </row>
    <row r="360" spans="1:7" x14ac:dyDescent="0.3">
      <c r="A360" s="25"/>
      <c r="B360" s="25"/>
      <c r="C360" s="25"/>
      <c r="D360" s="25"/>
      <c r="E360" s="25"/>
      <c r="F360" s="35"/>
      <c r="G360" s="35"/>
    </row>
    <row r="361" spans="1:7" x14ac:dyDescent="0.3">
      <c r="A361" s="25"/>
      <c r="B361" s="25"/>
      <c r="C361" s="25"/>
      <c r="D361" s="25"/>
      <c r="E361" s="25"/>
      <c r="F361" s="35"/>
      <c r="G361" s="35"/>
    </row>
    <row r="362" spans="1:7" x14ac:dyDescent="0.3">
      <c r="A362" s="25"/>
      <c r="B362" s="25"/>
      <c r="C362" s="25"/>
      <c r="D362" s="25"/>
      <c r="E362" s="25"/>
      <c r="F362" s="35"/>
      <c r="G362" s="35"/>
    </row>
    <row r="363" spans="1:7" x14ac:dyDescent="0.3">
      <c r="A363" s="25"/>
      <c r="B363" s="25"/>
      <c r="C363" s="25"/>
      <c r="D363" s="25"/>
      <c r="E363" s="25"/>
      <c r="F363" s="35"/>
      <c r="G363" s="35"/>
    </row>
    <row r="364" spans="1:7" x14ac:dyDescent="0.3">
      <c r="A364" s="25"/>
      <c r="B364" s="25"/>
      <c r="C364" s="25"/>
      <c r="D364" s="25"/>
      <c r="E364" s="25"/>
      <c r="F364" s="35"/>
      <c r="G364" s="35"/>
    </row>
    <row r="365" spans="1:7" x14ac:dyDescent="0.3">
      <c r="A365" s="25"/>
      <c r="B365" s="25"/>
      <c r="C365" s="25"/>
      <c r="D365" s="25"/>
      <c r="E365" s="25"/>
      <c r="F365" s="35"/>
      <c r="G365" s="35"/>
    </row>
    <row r="366" spans="1:7" x14ac:dyDescent="0.3">
      <c r="A366" s="25"/>
      <c r="B366" s="25"/>
      <c r="C366" s="25"/>
      <c r="D366" s="25"/>
      <c r="E366" s="25"/>
      <c r="F366" s="35"/>
      <c r="G366" s="35"/>
    </row>
    <row r="367" spans="1:7" x14ac:dyDescent="0.3">
      <c r="A367" s="25"/>
      <c r="B367" s="25"/>
      <c r="C367" s="25"/>
      <c r="D367" s="25"/>
      <c r="E367" s="25"/>
      <c r="F367" s="35"/>
      <c r="G367" s="35"/>
    </row>
    <row r="368" spans="1:7" x14ac:dyDescent="0.3">
      <c r="A368" s="25"/>
      <c r="B368" s="25"/>
      <c r="C368" s="25"/>
      <c r="D368" s="25"/>
      <c r="E368" s="25"/>
      <c r="F368" s="35"/>
      <c r="G368" s="35"/>
    </row>
    <row r="369" spans="1:7" x14ac:dyDescent="0.3">
      <c r="A369" s="25"/>
      <c r="B369" s="25"/>
      <c r="C369" s="25"/>
      <c r="D369" s="25"/>
      <c r="E369" s="25"/>
      <c r="F369" s="35"/>
      <c r="G369" s="35"/>
    </row>
    <row r="370" spans="1:7" x14ac:dyDescent="0.3">
      <c r="A370" s="25"/>
      <c r="B370" s="25"/>
      <c r="C370" s="25"/>
      <c r="D370" s="25"/>
      <c r="E370" s="25"/>
      <c r="F370" s="35"/>
      <c r="G370" s="35"/>
    </row>
    <row r="371" spans="1:7" x14ac:dyDescent="0.3">
      <c r="A371" s="25"/>
      <c r="B371" s="25"/>
      <c r="C371" s="25"/>
      <c r="D371" s="25"/>
      <c r="E371" s="25"/>
      <c r="F371" s="35"/>
      <c r="G371" s="35"/>
    </row>
    <row r="372" spans="1:7" x14ac:dyDescent="0.3">
      <c r="A372" s="25"/>
      <c r="B372" s="25"/>
      <c r="C372" s="25"/>
      <c r="D372" s="25"/>
      <c r="E372" s="25"/>
      <c r="F372" s="35"/>
      <c r="G372" s="35"/>
    </row>
    <row r="373" spans="1:7" x14ac:dyDescent="0.3">
      <c r="A373" s="25"/>
      <c r="B373" s="25"/>
      <c r="C373" s="25"/>
      <c r="D373" s="25"/>
      <c r="E373" s="25"/>
      <c r="F373" s="35"/>
      <c r="G373" s="35"/>
    </row>
    <row r="374" spans="1:7" x14ac:dyDescent="0.3">
      <c r="A374" s="25"/>
      <c r="B374" s="25"/>
      <c r="C374" s="25"/>
      <c r="D374" s="25"/>
      <c r="E374" s="25"/>
      <c r="F374" s="35"/>
      <c r="G374" s="35"/>
    </row>
  </sheetData>
  <sortState xmlns:xlrd2="http://schemas.microsoft.com/office/spreadsheetml/2017/richdata2" ref="A122:G127">
    <sortCondition descending="1" ref="F122:F127"/>
  </sortState>
  <pageMargins left="0.7" right="0.7" top="0.75" bottom="0.75" header="0.3" footer="0.3"/>
  <pageSetup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0"/>
  <sheetViews>
    <sheetView topLeftCell="B1" workbookViewId="0">
      <selection activeCell="F171" sqref="F171"/>
    </sheetView>
  </sheetViews>
  <sheetFormatPr defaultRowHeight="14.4" x14ac:dyDescent="0.3"/>
  <cols>
    <col min="1" max="1" width="14.88671875" customWidth="1"/>
    <col min="2" max="2" width="24.21875" customWidth="1"/>
    <col min="3" max="3" width="35.77734375" customWidth="1"/>
    <col min="4" max="4" width="18" customWidth="1"/>
    <col min="5" max="5" width="14.109375" customWidth="1"/>
    <col min="6" max="6" width="19.109375" style="8" customWidth="1"/>
    <col min="7" max="7" width="20.77734375" style="8" customWidth="1"/>
    <col min="11" max="11" width="12.33203125" customWidth="1"/>
    <col min="12" max="12" width="19.109375" customWidth="1"/>
    <col min="13" max="13" width="33" customWidth="1"/>
    <col min="17" max="17" width="11" customWidth="1"/>
  </cols>
  <sheetData>
    <row r="1" spans="1:7" x14ac:dyDescent="0.3">
      <c r="A1" s="139">
        <v>46039</v>
      </c>
      <c r="B1" s="140"/>
      <c r="C1" s="140" t="s">
        <v>107</v>
      </c>
      <c r="D1" s="140" t="s">
        <v>106</v>
      </c>
      <c r="E1" s="140"/>
      <c r="F1" s="81">
        <v>508576</v>
      </c>
      <c r="G1" s="81">
        <v>3334000</v>
      </c>
    </row>
    <row r="2" spans="1:7" x14ac:dyDescent="0.3">
      <c r="A2" s="139">
        <v>46044</v>
      </c>
      <c r="B2" s="140"/>
      <c r="C2" s="140" t="s">
        <v>110</v>
      </c>
      <c r="D2" s="140" t="s">
        <v>11</v>
      </c>
      <c r="E2" s="140"/>
      <c r="F2" s="81">
        <v>62542</v>
      </c>
      <c r="G2" s="81">
        <v>410000</v>
      </c>
    </row>
    <row r="3" spans="1:7" x14ac:dyDescent="0.3">
      <c r="A3" s="139">
        <v>46038</v>
      </c>
      <c r="B3" s="140"/>
      <c r="C3" s="140" t="s">
        <v>110</v>
      </c>
      <c r="D3" s="140" t="s">
        <v>11</v>
      </c>
      <c r="E3" s="140"/>
      <c r="F3" s="81">
        <v>46067</v>
      </c>
      <c r="G3" s="81">
        <v>302000</v>
      </c>
    </row>
    <row r="4" spans="1:7" x14ac:dyDescent="0.3">
      <c r="A4" s="139">
        <v>46028</v>
      </c>
      <c r="B4" s="140"/>
      <c r="C4" s="140" t="s">
        <v>102</v>
      </c>
      <c r="D4" s="141" t="s">
        <v>30</v>
      </c>
      <c r="E4" s="141">
        <v>50000</v>
      </c>
      <c r="F4" s="81">
        <v>30508</v>
      </c>
      <c r="G4" s="81">
        <v>200000</v>
      </c>
    </row>
    <row r="5" spans="1:7" x14ac:dyDescent="0.3">
      <c r="A5" s="139">
        <v>45670</v>
      </c>
      <c r="B5" s="140"/>
      <c r="C5" s="140" t="s">
        <v>27</v>
      </c>
      <c r="D5" s="140" t="s">
        <v>38</v>
      </c>
      <c r="E5" s="140"/>
      <c r="F5" s="81">
        <v>25916</v>
      </c>
      <c r="G5" s="81">
        <v>200000</v>
      </c>
    </row>
    <row r="6" spans="1:7" x14ac:dyDescent="0.3">
      <c r="A6" s="139">
        <v>46032</v>
      </c>
      <c r="B6" s="140"/>
      <c r="C6" s="140" t="s">
        <v>110</v>
      </c>
      <c r="D6" s="140" t="s">
        <v>11</v>
      </c>
      <c r="E6" s="140"/>
      <c r="F6" s="81">
        <v>22729</v>
      </c>
      <c r="G6" s="81">
        <v>149000</v>
      </c>
    </row>
    <row r="7" spans="1:7" x14ac:dyDescent="0.3">
      <c r="A7" s="139">
        <v>46041</v>
      </c>
      <c r="B7" s="140"/>
      <c r="C7" s="140" t="s">
        <v>109</v>
      </c>
      <c r="D7" s="140" t="s">
        <v>108</v>
      </c>
      <c r="E7" s="140"/>
      <c r="F7" s="81">
        <v>18305</v>
      </c>
      <c r="G7" s="81">
        <v>120000</v>
      </c>
    </row>
    <row r="8" spans="1:7" x14ac:dyDescent="0.3">
      <c r="A8" s="139">
        <v>46027</v>
      </c>
      <c r="B8" s="140"/>
      <c r="C8" s="140" t="s">
        <v>14</v>
      </c>
      <c r="D8" s="140" t="s">
        <v>31</v>
      </c>
      <c r="E8" s="140"/>
      <c r="F8" s="81">
        <v>12600</v>
      </c>
      <c r="G8" s="81">
        <v>82600</v>
      </c>
    </row>
    <row r="9" spans="1:7" x14ac:dyDescent="0.3">
      <c r="A9" s="139">
        <v>46050</v>
      </c>
      <c r="B9" s="140"/>
      <c r="C9" s="140" t="s">
        <v>122</v>
      </c>
      <c r="D9" s="140" t="s">
        <v>121</v>
      </c>
      <c r="E9" s="140"/>
      <c r="F9" s="81">
        <v>1220</v>
      </c>
      <c r="G9" s="81">
        <v>8000</v>
      </c>
    </row>
    <row r="10" spans="1:7" x14ac:dyDescent="0.3">
      <c r="A10" s="139">
        <v>46042</v>
      </c>
      <c r="B10" s="140"/>
      <c r="C10" s="140" t="s">
        <v>112</v>
      </c>
      <c r="D10" s="140" t="s">
        <v>111</v>
      </c>
      <c r="E10" s="140"/>
      <c r="F10" s="81">
        <v>6102</v>
      </c>
      <c r="G10" s="81">
        <v>40000</v>
      </c>
    </row>
    <row r="11" spans="1:7" x14ac:dyDescent="0.3">
      <c r="A11" s="53">
        <v>46050</v>
      </c>
      <c r="B11" s="54"/>
      <c r="C11" s="54" t="s">
        <v>102</v>
      </c>
      <c r="D11" s="54" t="s">
        <v>30</v>
      </c>
      <c r="E11" s="54"/>
      <c r="F11" s="55">
        <v>3043</v>
      </c>
      <c r="G11" s="7">
        <v>20000</v>
      </c>
    </row>
    <row r="12" spans="1:7" x14ac:dyDescent="0.3">
      <c r="A12" s="139">
        <v>46029</v>
      </c>
      <c r="B12" s="140"/>
      <c r="C12" s="140" t="s">
        <v>104</v>
      </c>
      <c r="D12" s="140" t="s">
        <v>103</v>
      </c>
      <c r="E12" s="140"/>
      <c r="F12" s="81"/>
      <c r="G12" s="81">
        <v>24000</v>
      </c>
    </row>
    <row r="13" spans="1:7" x14ac:dyDescent="0.3">
      <c r="A13" s="139">
        <v>46035</v>
      </c>
      <c r="B13" s="140"/>
      <c r="C13" s="140" t="s">
        <v>15</v>
      </c>
      <c r="D13" s="140" t="s">
        <v>16</v>
      </c>
      <c r="E13" s="140"/>
      <c r="F13" s="81">
        <v>11180</v>
      </c>
      <c r="G13" s="81">
        <v>73295</v>
      </c>
    </row>
    <row r="14" spans="1:7" x14ac:dyDescent="0.3">
      <c r="A14" s="139">
        <v>46043</v>
      </c>
      <c r="B14" s="140"/>
      <c r="C14" s="140" t="s">
        <v>15</v>
      </c>
      <c r="D14" s="140" t="s">
        <v>16</v>
      </c>
      <c r="E14" s="140"/>
      <c r="F14" s="81">
        <v>10825</v>
      </c>
      <c r="G14" s="81">
        <v>70968</v>
      </c>
    </row>
    <row r="15" spans="1:7" x14ac:dyDescent="0.3">
      <c r="A15" s="139">
        <v>46027</v>
      </c>
      <c r="B15" s="140">
        <v>103582274</v>
      </c>
      <c r="C15" s="140" t="s">
        <v>15</v>
      </c>
      <c r="D15" s="140" t="s">
        <v>16</v>
      </c>
      <c r="E15" s="140"/>
      <c r="F15" s="81">
        <v>10312</v>
      </c>
      <c r="G15" s="81">
        <v>67606</v>
      </c>
    </row>
    <row r="16" spans="1:7" x14ac:dyDescent="0.3">
      <c r="A16" s="139">
        <v>46032</v>
      </c>
      <c r="B16" s="140"/>
      <c r="C16" s="140" t="s">
        <v>15</v>
      </c>
      <c r="D16" s="140" t="s">
        <v>16</v>
      </c>
      <c r="E16" s="140"/>
      <c r="F16" s="81">
        <v>9867</v>
      </c>
      <c r="G16" s="81">
        <v>64682</v>
      </c>
    </row>
    <row r="17" spans="1:7" x14ac:dyDescent="0.3">
      <c r="A17" s="139">
        <v>46037</v>
      </c>
      <c r="B17" s="140"/>
      <c r="C17" s="140" t="s">
        <v>15</v>
      </c>
      <c r="D17" s="140" t="s">
        <v>16</v>
      </c>
      <c r="E17" s="140"/>
      <c r="F17" s="81">
        <v>9660</v>
      </c>
      <c r="G17" s="81">
        <v>63330</v>
      </c>
    </row>
    <row r="18" spans="1:7" x14ac:dyDescent="0.3">
      <c r="A18" s="139">
        <v>46039</v>
      </c>
      <c r="B18" s="140"/>
      <c r="C18" s="140" t="s">
        <v>15</v>
      </c>
      <c r="D18" s="140" t="s">
        <v>16</v>
      </c>
      <c r="E18" s="140"/>
      <c r="F18" s="81">
        <v>9226</v>
      </c>
      <c r="G18" s="81">
        <v>60485</v>
      </c>
    </row>
    <row r="19" spans="1:7" x14ac:dyDescent="0.3">
      <c r="A19" s="139">
        <v>46049</v>
      </c>
      <c r="B19" s="140"/>
      <c r="C19" s="140" t="s">
        <v>15</v>
      </c>
      <c r="D19" s="140" t="s">
        <v>16</v>
      </c>
      <c r="E19" s="140"/>
      <c r="F19" s="81">
        <v>8428</v>
      </c>
      <c r="G19" s="81">
        <v>55254</v>
      </c>
    </row>
    <row r="20" spans="1:7" x14ac:dyDescent="0.3">
      <c r="A20" s="139">
        <v>46029</v>
      </c>
      <c r="B20" s="142"/>
      <c r="C20" s="140" t="s">
        <v>15</v>
      </c>
      <c r="D20" s="140" t="s">
        <v>16</v>
      </c>
      <c r="E20" s="140"/>
      <c r="F20" s="81">
        <v>8049</v>
      </c>
      <c r="G20" s="143">
        <v>52768</v>
      </c>
    </row>
    <row r="21" spans="1:7" x14ac:dyDescent="0.3">
      <c r="A21" s="139">
        <v>46028</v>
      </c>
      <c r="B21" s="140"/>
      <c r="C21" s="140" t="s">
        <v>15</v>
      </c>
      <c r="D21" s="140" t="s">
        <v>16</v>
      </c>
      <c r="E21" s="140"/>
      <c r="F21" s="81">
        <v>7958</v>
      </c>
      <c r="G21" s="81">
        <v>52171</v>
      </c>
    </row>
    <row r="22" spans="1:7" x14ac:dyDescent="0.3">
      <c r="A22" s="139">
        <v>46030</v>
      </c>
      <c r="B22" s="140"/>
      <c r="C22" s="140" t="s">
        <v>15</v>
      </c>
      <c r="D22" s="140" t="s">
        <v>16</v>
      </c>
      <c r="E22" s="140"/>
      <c r="F22" s="81">
        <v>7833</v>
      </c>
      <c r="G22" s="81">
        <v>51356</v>
      </c>
    </row>
    <row r="23" spans="1:7" x14ac:dyDescent="0.3">
      <c r="A23" s="139">
        <v>46034</v>
      </c>
      <c r="B23" s="140"/>
      <c r="C23" s="140" t="s">
        <v>15</v>
      </c>
      <c r="D23" s="140" t="s">
        <v>16</v>
      </c>
      <c r="E23" s="140"/>
      <c r="F23" s="81">
        <v>6899</v>
      </c>
      <c r="G23" s="81">
        <v>45230</v>
      </c>
    </row>
    <row r="24" spans="1:7" x14ac:dyDescent="0.3">
      <c r="A24" s="139">
        <v>46051</v>
      </c>
      <c r="B24" s="140"/>
      <c r="C24" s="140" t="s">
        <v>15</v>
      </c>
      <c r="D24" s="140" t="s">
        <v>16</v>
      </c>
      <c r="E24" s="140"/>
      <c r="F24" s="81">
        <v>6884</v>
      </c>
      <c r="G24" s="81">
        <v>45130</v>
      </c>
    </row>
    <row r="25" spans="1:7" x14ac:dyDescent="0.3">
      <c r="A25" s="139">
        <v>46025</v>
      </c>
      <c r="B25" s="140">
        <v>103582274</v>
      </c>
      <c r="C25" s="140" t="s">
        <v>15</v>
      </c>
      <c r="D25" s="140" t="s">
        <v>16</v>
      </c>
      <c r="E25" s="140"/>
      <c r="F25" s="81">
        <v>6762</v>
      </c>
      <c r="G25" s="81">
        <v>44335</v>
      </c>
    </row>
    <row r="26" spans="1:7" x14ac:dyDescent="0.3">
      <c r="A26" s="139">
        <v>46039</v>
      </c>
      <c r="B26" s="140"/>
      <c r="C26" s="140" t="s">
        <v>15</v>
      </c>
      <c r="D26" s="140" t="s">
        <v>16</v>
      </c>
      <c r="E26" s="140"/>
      <c r="F26" s="81">
        <v>6733</v>
      </c>
      <c r="G26" s="81">
        <v>44136</v>
      </c>
    </row>
    <row r="27" spans="1:7" x14ac:dyDescent="0.3">
      <c r="A27" s="139">
        <v>46024</v>
      </c>
      <c r="B27" s="140">
        <v>103582274</v>
      </c>
      <c r="C27" s="140" t="s">
        <v>15</v>
      </c>
      <c r="D27" s="140" t="s">
        <v>16</v>
      </c>
      <c r="E27" s="140"/>
      <c r="F27" s="81">
        <v>6374</v>
      </c>
      <c r="G27" s="81">
        <v>41769</v>
      </c>
    </row>
    <row r="28" spans="1:7" x14ac:dyDescent="0.3">
      <c r="A28" s="139">
        <v>46031</v>
      </c>
      <c r="B28" s="140"/>
      <c r="C28" s="140" t="s">
        <v>15</v>
      </c>
      <c r="D28" s="140" t="s">
        <v>16</v>
      </c>
      <c r="E28" s="140"/>
      <c r="F28" s="81">
        <v>5252</v>
      </c>
      <c r="G28" s="81">
        <v>34430</v>
      </c>
    </row>
    <row r="29" spans="1:7" x14ac:dyDescent="0.3">
      <c r="A29" s="139">
        <v>46037</v>
      </c>
      <c r="B29" s="140"/>
      <c r="C29" s="140" t="s">
        <v>15</v>
      </c>
      <c r="D29" s="140" t="s">
        <v>16</v>
      </c>
      <c r="E29" s="140"/>
      <c r="F29" s="81">
        <v>4575</v>
      </c>
      <c r="G29" s="81">
        <v>30000</v>
      </c>
    </row>
    <row r="30" spans="1:7" x14ac:dyDescent="0.3">
      <c r="A30" s="139">
        <v>46050</v>
      </c>
      <c r="B30" s="140"/>
      <c r="C30" s="140" t="s">
        <v>15</v>
      </c>
      <c r="D30" s="140" t="s">
        <v>16</v>
      </c>
      <c r="E30" s="140"/>
      <c r="F30" s="81">
        <v>4554</v>
      </c>
      <c r="G30" s="81">
        <v>29855</v>
      </c>
    </row>
    <row r="31" spans="1:7" x14ac:dyDescent="0.3">
      <c r="A31" s="139">
        <v>46050</v>
      </c>
      <c r="B31" s="140"/>
      <c r="C31" s="140" t="s">
        <v>15</v>
      </c>
      <c r="D31" s="140" t="s">
        <v>16</v>
      </c>
      <c r="E31" s="140"/>
      <c r="F31" s="81">
        <v>4554</v>
      </c>
      <c r="G31" s="81">
        <v>29855</v>
      </c>
    </row>
    <row r="32" spans="1:7" x14ac:dyDescent="0.3">
      <c r="A32" s="139">
        <v>46034</v>
      </c>
      <c r="B32" s="140"/>
      <c r="C32" s="140" t="s">
        <v>15</v>
      </c>
      <c r="D32" s="140" t="s">
        <v>16</v>
      </c>
      <c r="E32" s="140"/>
      <c r="F32" s="81">
        <v>3052</v>
      </c>
      <c r="G32" s="81">
        <v>20000</v>
      </c>
    </row>
    <row r="33" spans="1:7" x14ac:dyDescent="0.3">
      <c r="A33" s="139">
        <v>46040</v>
      </c>
      <c r="B33" s="140"/>
      <c r="C33" s="140" t="s">
        <v>15</v>
      </c>
      <c r="D33" s="140" t="s">
        <v>16</v>
      </c>
      <c r="E33" s="140"/>
      <c r="F33" s="81">
        <v>2833</v>
      </c>
      <c r="G33" s="81">
        <v>18577</v>
      </c>
    </row>
    <row r="34" spans="1:7" x14ac:dyDescent="0.3">
      <c r="A34" s="139">
        <v>46036</v>
      </c>
      <c r="B34" s="140"/>
      <c r="C34" s="140" t="s">
        <v>15</v>
      </c>
      <c r="D34" s="140" t="s">
        <v>16</v>
      </c>
      <c r="E34" s="140"/>
      <c r="F34" s="81">
        <v>1526</v>
      </c>
      <c r="G34" s="81">
        <v>10000</v>
      </c>
    </row>
    <row r="35" spans="1:7" x14ac:dyDescent="0.3">
      <c r="A35" s="139">
        <v>46030</v>
      </c>
      <c r="B35" s="140"/>
      <c r="C35" s="140" t="s">
        <v>105</v>
      </c>
      <c r="D35" s="140" t="s">
        <v>8</v>
      </c>
      <c r="E35" s="140"/>
      <c r="F35" s="81"/>
      <c r="G35" s="81">
        <v>4040000</v>
      </c>
    </row>
    <row r="36" spans="1:7" x14ac:dyDescent="0.3">
      <c r="A36" s="139">
        <v>46043</v>
      </c>
      <c r="B36" s="140"/>
      <c r="C36" s="140" t="s">
        <v>105</v>
      </c>
      <c r="D36" s="140" t="s">
        <v>113</v>
      </c>
      <c r="E36" s="140"/>
      <c r="F36" s="81"/>
      <c r="G36" s="81">
        <v>5200000</v>
      </c>
    </row>
    <row r="37" spans="1:7" x14ac:dyDescent="0.3">
      <c r="A37" s="139">
        <v>46043</v>
      </c>
      <c r="B37" s="140"/>
      <c r="C37" s="140" t="s">
        <v>84</v>
      </c>
      <c r="D37" s="140" t="s">
        <v>8</v>
      </c>
      <c r="E37" s="140"/>
      <c r="F37" s="81"/>
      <c r="G37" s="81">
        <v>1435000</v>
      </c>
    </row>
    <row r="38" spans="1:7" x14ac:dyDescent="0.3">
      <c r="A38" s="139">
        <v>46029</v>
      </c>
      <c r="B38" s="140"/>
      <c r="C38" s="140" t="s">
        <v>82</v>
      </c>
      <c r="D38" s="140" t="s">
        <v>8</v>
      </c>
      <c r="E38" s="140"/>
      <c r="F38" s="81"/>
      <c r="G38" s="81">
        <v>2000000</v>
      </c>
    </row>
    <row r="39" spans="1:7" ht="21" x14ac:dyDescent="0.4">
      <c r="G39" s="218">
        <f>SUM(G1:G38)</f>
        <v>18569832</v>
      </c>
    </row>
    <row r="40" spans="1:7" ht="18" x14ac:dyDescent="0.35">
      <c r="A40" s="208"/>
      <c r="B40" s="208" t="s">
        <v>374</v>
      </c>
      <c r="C40" s="208"/>
      <c r="D40" s="208"/>
      <c r="E40" s="208"/>
      <c r="F40" s="209"/>
    </row>
    <row r="41" spans="1:7" x14ac:dyDescent="0.3">
      <c r="A41" s="5">
        <v>46055</v>
      </c>
      <c r="B41" s="1" t="s">
        <v>116</v>
      </c>
      <c r="C41" s="22" t="s">
        <v>117</v>
      </c>
      <c r="D41" s="22"/>
      <c r="E41" s="7"/>
      <c r="F41" s="7">
        <v>21000</v>
      </c>
    </row>
    <row r="42" spans="1:7" x14ac:dyDescent="0.3">
      <c r="A42" s="5">
        <v>46059</v>
      </c>
      <c r="B42" s="21" t="s">
        <v>79</v>
      </c>
      <c r="C42" s="21" t="s">
        <v>120</v>
      </c>
      <c r="D42" s="1"/>
      <c r="E42" s="17"/>
      <c r="F42" s="7">
        <v>4850000</v>
      </c>
    </row>
    <row r="43" spans="1:7" x14ac:dyDescent="0.3">
      <c r="A43" s="5">
        <v>46066</v>
      </c>
      <c r="B43" s="1" t="s">
        <v>79</v>
      </c>
      <c r="C43" s="22" t="s">
        <v>120</v>
      </c>
      <c r="D43" s="22"/>
      <c r="E43" s="7"/>
      <c r="F43" s="7">
        <v>4650000</v>
      </c>
    </row>
    <row r="44" spans="1:7" x14ac:dyDescent="0.3">
      <c r="A44" s="5">
        <v>46064</v>
      </c>
      <c r="B44" s="1" t="s">
        <v>60</v>
      </c>
      <c r="C44" s="22" t="s">
        <v>17</v>
      </c>
      <c r="D44" s="1"/>
      <c r="E44" s="7"/>
      <c r="F44" s="7">
        <v>757500</v>
      </c>
    </row>
    <row r="45" spans="1:7" x14ac:dyDescent="0.3">
      <c r="A45" s="5">
        <v>46065</v>
      </c>
      <c r="B45" s="1" t="s">
        <v>60</v>
      </c>
      <c r="C45" s="1" t="s">
        <v>17</v>
      </c>
      <c r="D45" s="1"/>
      <c r="E45" s="17"/>
      <c r="F45" s="7">
        <v>757000</v>
      </c>
    </row>
    <row r="46" spans="1:7" x14ac:dyDescent="0.3">
      <c r="A46" s="30">
        <v>46069</v>
      </c>
      <c r="B46" s="1" t="s">
        <v>130</v>
      </c>
      <c r="C46" s="1" t="s">
        <v>68</v>
      </c>
      <c r="D46" s="1"/>
      <c r="E46" s="17"/>
      <c r="F46" s="7">
        <v>100000</v>
      </c>
    </row>
    <row r="47" spans="1:7" x14ac:dyDescent="0.3">
      <c r="A47" s="5">
        <v>46072</v>
      </c>
      <c r="B47" s="21" t="s">
        <v>28</v>
      </c>
      <c r="C47" s="21" t="s">
        <v>7</v>
      </c>
      <c r="D47" s="1"/>
      <c r="E47" s="17"/>
      <c r="F47" s="7">
        <v>429300</v>
      </c>
    </row>
    <row r="48" spans="1:7" ht="21" x14ac:dyDescent="0.4">
      <c r="A48" s="208"/>
      <c r="B48" s="208"/>
      <c r="C48" s="208"/>
      <c r="D48" s="208"/>
      <c r="E48" s="208"/>
      <c r="F48" s="219">
        <f>SUM(F41:F47)</f>
        <v>11564800</v>
      </c>
      <c r="G48" s="209"/>
    </row>
    <row r="49" spans="1:7" ht="18" x14ac:dyDescent="0.35">
      <c r="A49" s="208"/>
      <c r="B49" s="208" t="s">
        <v>372</v>
      </c>
      <c r="C49" s="208"/>
      <c r="D49" s="208"/>
      <c r="E49" s="208"/>
      <c r="F49" s="209"/>
      <c r="G49" s="209"/>
    </row>
    <row r="50" spans="1:7" x14ac:dyDescent="0.3">
      <c r="A50" s="56" t="s">
        <v>157</v>
      </c>
      <c r="B50" s="56" t="s">
        <v>158</v>
      </c>
      <c r="C50" s="56" t="s">
        <v>38</v>
      </c>
      <c r="D50" s="56" t="s">
        <v>159</v>
      </c>
      <c r="E50" s="229">
        <v>46097</v>
      </c>
      <c r="F50" s="206">
        <v>127118.64</v>
      </c>
      <c r="G50" s="206">
        <v>22881.360000000001</v>
      </c>
    </row>
    <row r="51" spans="1:7" x14ac:dyDescent="0.3">
      <c r="A51" s="56" t="s">
        <v>160</v>
      </c>
      <c r="B51" s="56" t="s">
        <v>161</v>
      </c>
      <c r="C51" s="56" t="s">
        <v>38</v>
      </c>
      <c r="D51" s="56" t="s">
        <v>162</v>
      </c>
      <c r="E51" s="229">
        <v>46095</v>
      </c>
      <c r="F51" s="206">
        <v>610169.49</v>
      </c>
      <c r="G51" s="206">
        <v>109830.51</v>
      </c>
    </row>
    <row r="52" spans="1:7" x14ac:dyDescent="0.3">
      <c r="A52" s="56" t="s">
        <v>163</v>
      </c>
      <c r="B52" s="56" t="s">
        <v>164</v>
      </c>
      <c r="C52" s="56" t="s">
        <v>38</v>
      </c>
      <c r="D52" s="56" t="s">
        <v>165</v>
      </c>
      <c r="E52" s="229">
        <v>46083</v>
      </c>
      <c r="F52" s="206">
        <v>38983.050000000003</v>
      </c>
      <c r="G52" s="206">
        <v>7016.95</v>
      </c>
    </row>
    <row r="53" spans="1:7" x14ac:dyDescent="0.3">
      <c r="A53" s="56" t="s">
        <v>166</v>
      </c>
      <c r="B53" s="56" t="s">
        <v>61</v>
      </c>
      <c r="C53" s="56" t="s">
        <v>38</v>
      </c>
      <c r="D53" s="56" t="s">
        <v>167</v>
      </c>
      <c r="E53" s="229">
        <v>46083</v>
      </c>
      <c r="F53" s="206">
        <v>72881.36</v>
      </c>
      <c r="G53" s="206">
        <v>13118.64</v>
      </c>
    </row>
    <row r="54" spans="1:7" x14ac:dyDescent="0.3">
      <c r="A54" s="56"/>
      <c r="B54" s="56"/>
      <c r="C54" s="56"/>
      <c r="D54" s="56"/>
      <c r="E54" s="56"/>
      <c r="F54" s="216">
        <v>152847</v>
      </c>
      <c r="G54" s="216">
        <f>SUM(G50:G53)</f>
        <v>152847.46000000002</v>
      </c>
    </row>
    <row r="55" spans="1:7" x14ac:dyDescent="0.3">
      <c r="A55" s="101" t="s">
        <v>83</v>
      </c>
      <c r="B55" s="101" t="s">
        <v>60</v>
      </c>
      <c r="C55" s="101" t="s">
        <v>38</v>
      </c>
      <c r="D55" s="101" t="s">
        <v>168</v>
      </c>
      <c r="E55" s="230">
        <v>46104</v>
      </c>
      <c r="F55" s="207">
        <v>808000</v>
      </c>
      <c r="G55" s="206">
        <v>0</v>
      </c>
    </row>
    <row r="56" spans="1:7" x14ac:dyDescent="0.3">
      <c r="A56" s="95">
        <v>46092</v>
      </c>
      <c r="B56" s="27" t="s">
        <v>60</v>
      </c>
      <c r="C56" s="27" t="s">
        <v>17</v>
      </c>
      <c r="D56" s="25"/>
      <c r="E56" s="35"/>
      <c r="F56" s="35">
        <v>808000</v>
      </c>
      <c r="G56" s="206"/>
    </row>
    <row r="57" spans="1:7" x14ac:dyDescent="0.3">
      <c r="A57" s="95">
        <v>46094</v>
      </c>
      <c r="B57" s="27" t="s">
        <v>147</v>
      </c>
      <c r="C57" s="27" t="s">
        <v>146</v>
      </c>
      <c r="D57" s="25"/>
      <c r="E57" s="35"/>
      <c r="F57" s="35">
        <v>400000</v>
      </c>
      <c r="G57" s="206"/>
    </row>
    <row r="58" spans="1:7" x14ac:dyDescent="0.3">
      <c r="A58" s="95">
        <v>46112</v>
      </c>
      <c r="B58" s="27" t="s">
        <v>79</v>
      </c>
      <c r="C58" s="27" t="s">
        <v>8</v>
      </c>
      <c r="D58" s="25"/>
      <c r="E58" s="35"/>
      <c r="F58" s="35">
        <v>4200000</v>
      </c>
      <c r="G58" s="206"/>
    </row>
    <row r="59" spans="1:7" ht="18" x14ac:dyDescent="0.35">
      <c r="A59" s="95"/>
      <c r="B59" s="27"/>
      <c r="C59" s="27"/>
      <c r="D59" s="25"/>
      <c r="E59" s="35"/>
      <c r="F59" s="217">
        <f>SUM(F50:F53)+SUM(F55:F58)</f>
        <v>7065152.54</v>
      </c>
      <c r="G59" s="206"/>
    </row>
    <row r="60" spans="1:7" ht="18" x14ac:dyDescent="0.35">
      <c r="A60" s="208"/>
      <c r="B60" s="208" t="s">
        <v>373</v>
      </c>
      <c r="C60" s="208"/>
      <c r="D60" s="208"/>
      <c r="E60" s="208"/>
      <c r="F60" s="215"/>
      <c r="G60" s="215"/>
    </row>
    <row r="61" spans="1:7" x14ac:dyDescent="0.3">
      <c r="A61" t="s">
        <v>85</v>
      </c>
      <c r="B61" t="s">
        <v>86</v>
      </c>
      <c r="C61" t="s">
        <v>38</v>
      </c>
      <c r="D61" t="s">
        <v>375</v>
      </c>
      <c r="E61" s="9">
        <v>46113</v>
      </c>
      <c r="F61" s="201">
        <v>18507.82</v>
      </c>
      <c r="G61" s="201">
        <v>3331.4</v>
      </c>
    </row>
    <row r="62" spans="1:7" x14ac:dyDescent="0.3">
      <c r="A62" t="s">
        <v>85</v>
      </c>
      <c r="B62" t="s">
        <v>86</v>
      </c>
      <c r="C62" t="s">
        <v>38</v>
      </c>
      <c r="D62" t="s">
        <v>376</v>
      </c>
      <c r="E62" s="9">
        <v>46114</v>
      </c>
      <c r="F62" s="201">
        <v>12844.23</v>
      </c>
      <c r="G62" s="201">
        <v>2311.9499999999998</v>
      </c>
    </row>
    <row r="63" spans="1:7" x14ac:dyDescent="0.3">
      <c r="A63" t="s">
        <v>85</v>
      </c>
      <c r="B63" t="s">
        <v>86</v>
      </c>
      <c r="C63" t="s">
        <v>38</v>
      </c>
      <c r="D63" t="s">
        <v>377</v>
      </c>
      <c r="E63" s="9">
        <v>46114</v>
      </c>
      <c r="F63" s="201">
        <v>60125.120000000003</v>
      </c>
      <c r="G63" s="201">
        <v>10822.51</v>
      </c>
    </row>
    <row r="64" spans="1:7" x14ac:dyDescent="0.3">
      <c r="A64" t="s">
        <v>85</v>
      </c>
      <c r="B64" t="s">
        <v>86</v>
      </c>
      <c r="C64" t="s">
        <v>38</v>
      </c>
      <c r="D64" t="s">
        <v>378</v>
      </c>
      <c r="E64" s="9">
        <v>46115</v>
      </c>
      <c r="F64" s="201">
        <v>46218.97</v>
      </c>
      <c r="G64" s="201">
        <v>8319.41</v>
      </c>
    </row>
    <row r="65" spans="1:7" x14ac:dyDescent="0.3">
      <c r="A65" t="s">
        <v>85</v>
      </c>
      <c r="B65" t="s">
        <v>86</v>
      </c>
      <c r="C65" t="s">
        <v>38</v>
      </c>
      <c r="D65" t="s">
        <v>379</v>
      </c>
      <c r="E65" s="9">
        <v>46115</v>
      </c>
      <c r="F65" s="201">
        <v>16957.07</v>
      </c>
      <c r="G65" s="201">
        <v>3052.27</v>
      </c>
    </row>
    <row r="66" spans="1:7" x14ac:dyDescent="0.3">
      <c r="A66" t="s">
        <v>85</v>
      </c>
      <c r="B66" t="s">
        <v>86</v>
      </c>
      <c r="C66" t="s">
        <v>38</v>
      </c>
      <c r="D66" t="s">
        <v>380</v>
      </c>
      <c r="E66" s="9">
        <v>46118</v>
      </c>
      <c r="F66" s="201">
        <v>27987.31</v>
      </c>
      <c r="G66" s="201">
        <v>5037.71</v>
      </c>
    </row>
    <row r="67" spans="1:7" x14ac:dyDescent="0.3">
      <c r="A67" t="s">
        <v>85</v>
      </c>
      <c r="B67" t="s">
        <v>86</v>
      </c>
      <c r="C67" t="s">
        <v>38</v>
      </c>
      <c r="D67" t="s">
        <v>381</v>
      </c>
      <c r="E67" s="9">
        <v>46121</v>
      </c>
      <c r="F67" s="201">
        <v>74730.399999999994</v>
      </c>
      <c r="G67" s="201">
        <v>13451.47</v>
      </c>
    </row>
    <row r="68" spans="1:7" x14ac:dyDescent="0.3">
      <c r="A68" t="s">
        <v>85</v>
      </c>
      <c r="B68" t="s">
        <v>86</v>
      </c>
      <c r="C68" t="s">
        <v>38</v>
      </c>
      <c r="D68" t="s">
        <v>382</v>
      </c>
      <c r="E68" s="9">
        <v>46121</v>
      </c>
      <c r="F68" s="201">
        <v>23030</v>
      </c>
      <c r="G68" s="201">
        <v>4145.3999999999996</v>
      </c>
    </row>
    <row r="69" spans="1:7" x14ac:dyDescent="0.3">
      <c r="A69" t="s">
        <v>85</v>
      </c>
      <c r="B69" t="s">
        <v>86</v>
      </c>
      <c r="C69" t="s">
        <v>38</v>
      </c>
      <c r="D69" t="s">
        <v>383</v>
      </c>
      <c r="E69" s="9">
        <v>46122</v>
      </c>
      <c r="F69" s="201">
        <v>64366.9</v>
      </c>
      <c r="G69" s="201">
        <v>11586.04</v>
      </c>
    </row>
    <row r="70" spans="1:7" x14ac:dyDescent="0.3">
      <c r="A70" t="s">
        <v>85</v>
      </c>
      <c r="B70" t="s">
        <v>86</v>
      </c>
      <c r="C70" t="s">
        <v>38</v>
      </c>
      <c r="D70" t="s">
        <v>384</v>
      </c>
      <c r="E70" s="9">
        <v>46125</v>
      </c>
      <c r="F70" s="201">
        <v>72876.289999999994</v>
      </c>
      <c r="G70" s="201">
        <v>13117.73</v>
      </c>
    </row>
    <row r="71" spans="1:7" x14ac:dyDescent="0.3">
      <c r="A71" t="s">
        <v>85</v>
      </c>
      <c r="B71" t="s">
        <v>86</v>
      </c>
      <c r="C71" t="s">
        <v>38</v>
      </c>
      <c r="D71" t="s">
        <v>385</v>
      </c>
      <c r="E71" s="9">
        <v>46126</v>
      </c>
      <c r="F71" s="201">
        <v>42527.44</v>
      </c>
      <c r="G71" s="201">
        <v>7654.93</v>
      </c>
    </row>
    <row r="72" spans="1:7" x14ac:dyDescent="0.3">
      <c r="A72" t="s">
        <v>85</v>
      </c>
      <c r="B72" t="s">
        <v>86</v>
      </c>
      <c r="C72" t="s">
        <v>38</v>
      </c>
      <c r="D72" t="s">
        <v>386</v>
      </c>
      <c r="E72" s="9">
        <v>46128</v>
      </c>
      <c r="F72" s="201">
        <v>66826.039999999994</v>
      </c>
      <c r="G72" s="201">
        <v>12028.68</v>
      </c>
    </row>
    <row r="73" spans="1:7" x14ac:dyDescent="0.3">
      <c r="A73" t="s">
        <v>85</v>
      </c>
      <c r="B73" t="s">
        <v>86</v>
      </c>
      <c r="C73" t="s">
        <v>38</v>
      </c>
      <c r="D73" t="s">
        <v>387</v>
      </c>
      <c r="E73" s="9">
        <v>46128</v>
      </c>
      <c r="F73" s="201">
        <v>26874.84</v>
      </c>
      <c r="G73" s="201">
        <v>4837.47</v>
      </c>
    </row>
    <row r="74" spans="1:7" x14ac:dyDescent="0.3">
      <c r="B74" s="213" t="s">
        <v>400</v>
      </c>
      <c r="F74" s="214">
        <v>99697</v>
      </c>
      <c r="G74" s="214">
        <f>SUM(G61:G73)</f>
        <v>99696.97</v>
      </c>
    </row>
    <row r="75" spans="1:7" x14ac:dyDescent="0.3">
      <c r="A75" t="s">
        <v>362</v>
      </c>
      <c r="B75" t="s">
        <v>363</v>
      </c>
      <c r="C75" t="s">
        <v>38</v>
      </c>
      <c r="D75" t="s">
        <v>388</v>
      </c>
      <c r="E75" s="9">
        <v>46114</v>
      </c>
      <c r="F75" s="201">
        <v>50000</v>
      </c>
      <c r="G75" s="7"/>
    </row>
    <row r="76" spans="1:7" x14ac:dyDescent="0.3">
      <c r="A76" t="s">
        <v>362</v>
      </c>
      <c r="B76" t="s">
        <v>363</v>
      </c>
      <c r="C76" t="s">
        <v>38</v>
      </c>
      <c r="D76" t="s">
        <v>389</v>
      </c>
      <c r="E76" s="9">
        <v>46128</v>
      </c>
      <c r="F76" s="201">
        <v>50000</v>
      </c>
      <c r="G76" s="7"/>
    </row>
    <row r="77" spans="1:7" x14ac:dyDescent="0.3">
      <c r="A77" t="s">
        <v>362</v>
      </c>
      <c r="B77" t="s">
        <v>363</v>
      </c>
      <c r="C77" t="s">
        <v>38</v>
      </c>
      <c r="D77" t="s">
        <v>390</v>
      </c>
      <c r="E77" s="9">
        <v>46129</v>
      </c>
      <c r="F77" s="201">
        <v>50000</v>
      </c>
      <c r="G77" s="7"/>
    </row>
    <row r="78" spans="1:7" x14ac:dyDescent="0.3">
      <c r="A78" t="s">
        <v>362</v>
      </c>
      <c r="B78" t="s">
        <v>363</v>
      </c>
      <c r="C78" t="s">
        <v>38</v>
      </c>
      <c r="D78" t="s">
        <v>391</v>
      </c>
      <c r="E78" s="9">
        <v>46141</v>
      </c>
      <c r="F78" s="201">
        <v>50000</v>
      </c>
      <c r="G78" s="7"/>
    </row>
    <row r="79" spans="1:7" x14ac:dyDescent="0.3">
      <c r="A79" t="s">
        <v>392</v>
      </c>
      <c r="B79" t="s">
        <v>393</v>
      </c>
      <c r="C79" t="s">
        <v>38</v>
      </c>
      <c r="D79" t="s">
        <v>394</v>
      </c>
      <c r="E79" s="9">
        <v>46120</v>
      </c>
      <c r="F79" s="201">
        <v>2300000</v>
      </c>
      <c r="G79" s="7"/>
    </row>
    <row r="80" spans="1:7" x14ac:dyDescent="0.3">
      <c r="A80" t="s">
        <v>395</v>
      </c>
      <c r="B80" t="s">
        <v>396</v>
      </c>
      <c r="C80" t="s">
        <v>38</v>
      </c>
      <c r="D80" t="s">
        <v>397</v>
      </c>
      <c r="E80" s="9">
        <v>46119</v>
      </c>
      <c r="F80" s="201">
        <v>6850000</v>
      </c>
      <c r="G80" s="7"/>
    </row>
    <row r="81" spans="1:17" x14ac:dyDescent="0.3">
      <c r="A81" t="s">
        <v>83</v>
      </c>
      <c r="B81" t="s">
        <v>60</v>
      </c>
      <c r="C81" t="s">
        <v>38</v>
      </c>
      <c r="D81" t="s">
        <v>398</v>
      </c>
      <c r="E81" s="9">
        <v>46121</v>
      </c>
      <c r="F81" s="201">
        <v>275225</v>
      </c>
      <c r="G81" s="7"/>
    </row>
    <row r="82" spans="1:17" x14ac:dyDescent="0.3">
      <c r="A82" t="s">
        <v>83</v>
      </c>
      <c r="B82" t="s">
        <v>60</v>
      </c>
      <c r="C82" t="s">
        <v>38</v>
      </c>
      <c r="D82" t="s">
        <v>399</v>
      </c>
      <c r="E82" s="9">
        <v>46135</v>
      </c>
      <c r="F82" s="201">
        <v>505000</v>
      </c>
      <c r="G82" s="7"/>
    </row>
    <row r="83" spans="1:17" x14ac:dyDescent="0.3">
      <c r="F83" s="212"/>
      <c r="G83" s="7"/>
    </row>
    <row r="84" spans="1:17" x14ac:dyDescent="0.3">
      <c r="A84" s="53">
        <v>46121</v>
      </c>
      <c r="B84" s="54"/>
      <c r="C84" s="54" t="s">
        <v>60</v>
      </c>
      <c r="D84" s="54" t="s">
        <v>172</v>
      </c>
      <c r="E84" s="54"/>
      <c r="F84" s="7">
        <v>275225</v>
      </c>
      <c r="G84" s="7"/>
    </row>
    <row r="85" spans="1:17" x14ac:dyDescent="0.3">
      <c r="A85" s="53">
        <v>46122</v>
      </c>
      <c r="B85" s="54"/>
      <c r="C85" s="54" t="s">
        <v>171</v>
      </c>
      <c r="D85" s="54" t="s">
        <v>150</v>
      </c>
      <c r="E85" s="54"/>
      <c r="F85" s="13">
        <f>1522*600</f>
        <v>913200</v>
      </c>
      <c r="G85" s="7"/>
    </row>
    <row r="86" spans="1:17" ht="21" x14ac:dyDescent="0.4">
      <c r="A86" s="53"/>
      <c r="B86" s="54"/>
      <c r="C86" s="54"/>
      <c r="D86" s="54"/>
      <c r="E86" s="54"/>
      <c r="F86" s="220">
        <f>SUM(F61:F73)+SUM(F75:F85)</f>
        <v>11872522.43</v>
      </c>
      <c r="G86" s="7"/>
    </row>
    <row r="87" spans="1:17" s="3" customFormat="1" ht="21" x14ac:dyDescent="0.4">
      <c r="A87" s="4"/>
      <c r="B87" s="4" t="s">
        <v>300</v>
      </c>
      <c r="C87" s="4"/>
      <c r="D87" s="4"/>
      <c r="E87" s="4"/>
      <c r="F87" s="6"/>
      <c r="G87" s="6"/>
      <c r="K87" s="4"/>
      <c r="L87" s="4"/>
      <c r="M87" s="4"/>
      <c r="N87" s="4"/>
      <c r="O87" s="4"/>
      <c r="P87" s="4"/>
      <c r="Q87" s="4"/>
    </row>
    <row r="88" spans="1:17" x14ac:dyDescent="0.3">
      <c r="A88" s="202" t="s">
        <v>293</v>
      </c>
      <c r="B88" s="202" t="s">
        <v>294</v>
      </c>
      <c r="C88" s="202" t="s">
        <v>295</v>
      </c>
      <c r="D88" s="202" t="s">
        <v>296</v>
      </c>
      <c r="E88" s="202" t="s">
        <v>297</v>
      </c>
      <c r="F88" s="202" t="s">
        <v>298</v>
      </c>
      <c r="G88" s="202" t="s">
        <v>299</v>
      </c>
      <c r="K88" s="9"/>
      <c r="Q88" s="18"/>
    </row>
    <row r="89" spans="1:17" x14ac:dyDescent="0.3">
      <c r="A89" t="s">
        <v>254</v>
      </c>
      <c r="B89" t="s">
        <v>255</v>
      </c>
      <c r="C89" t="s">
        <v>38</v>
      </c>
      <c r="D89" t="s">
        <v>256</v>
      </c>
      <c r="E89" s="9">
        <v>46165</v>
      </c>
      <c r="F89" s="201">
        <v>453389.83</v>
      </c>
      <c r="G89" s="201">
        <v>81610.17</v>
      </c>
      <c r="K89" s="9"/>
      <c r="Q89" s="18"/>
    </row>
    <row r="90" spans="1:17" x14ac:dyDescent="0.3">
      <c r="A90" t="s">
        <v>257</v>
      </c>
      <c r="B90" t="s">
        <v>258</v>
      </c>
      <c r="C90" t="s">
        <v>38</v>
      </c>
      <c r="D90" t="s">
        <v>259</v>
      </c>
      <c r="E90" s="9">
        <v>46160</v>
      </c>
      <c r="F90" s="201">
        <v>355932.2</v>
      </c>
      <c r="G90" s="201">
        <v>64067.8</v>
      </c>
      <c r="K90" s="9"/>
      <c r="Q90" s="18"/>
    </row>
    <row r="91" spans="1:17" x14ac:dyDescent="0.3">
      <c r="A91" t="s">
        <v>260</v>
      </c>
      <c r="B91" t="s">
        <v>261</v>
      </c>
      <c r="C91" t="s">
        <v>38</v>
      </c>
      <c r="D91" t="s">
        <v>262</v>
      </c>
      <c r="E91" s="9">
        <v>46164</v>
      </c>
      <c r="F91" s="201">
        <v>227203.39</v>
      </c>
      <c r="G91" s="201">
        <v>40896.61</v>
      </c>
      <c r="K91" s="9"/>
      <c r="Q91" s="8"/>
    </row>
    <row r="92" spans="1:17" x14ac:dyDescent="0.3">
      <c r="A92" t="s">
        <v>85</v>
      </c>
      <c r="B92" t="s">
        <v>86</v>
      </c>
      <c r="C92" t="s">
        <v>38</v>
      </c>
      <c r="D92" t="s">
        <v>263</v>
      </c>
      <c r="E92" s="9">
        <v>46159</v>
      </c>
      <c r="F92" s="201">
        <v>79699.48</v>
      </c>
      <c r="G92" s="201">
        <v>14345.9</v>
      </c>
      <c r="K92" s="9"/>
      <c r="Q92" s="18"/>
    </row>
    <row r="93" spans="1:17" x14ac:dyDescent="0.3">
      <c r="A93" t="s">
        <v>85</v>
      </c>
      <c r="B93" t="s">
        <v>86</v>
      </c>
      <c r="C93" t="s">
        <v>38</v>
      </c>
      <c r="D93" t="s">
        <v>264</v>
      </c>
      <c r="E93" s="9">
        <v>46149</v>
      </c>
      <c r="F93" s="201">
        <v>79400.7</v>
      </c>
      <c r="G93" s="201">
        <v>14292.12</v>
      </c>
      <c r="K93" s="9"/>
      <c r="Q93" s="18"/>
    </row>
    <row r="94" spans="1:17" x14ac:dyDescent="0.3">
      <c r="A94" t="s">
        <v>85</v>
      </c>
      <c r="B94" t="s">
        <v>86</v>
      </c>
      <c r="C94" t="s">
        <v>38</v>
      </c>
      <c r="D94" t="s">
        <v>265</v>
      </c>
      <c r="E94" s="9">
        <v>46159</v>
      </c>
      <c r="F94" s="201">
        <v>74246.75</v>
      </c>
      <c r="G94" s="201">
        <v>13364.41</v>
      </c>
      <c r="K94" s="9"/>
      <c r="Q94" s="8"/>
    </row>
    <row r="95" spans="1:17" x14ac:dyDescent="0.3">
      <c r="A95" t="s">
        <v>85</v>
      </c>
      <c r="B95" t="s">
        <v>86</v>
      </c>
      <c r="C95" t="s">
        <v>38</v>
      </c>
      <c r="D95" t="s">
        <v>266</v>
      </c>
      <c r="E95" s="9">
        <v>46159</v>
      </c>
      <c r="F95" s="201">
        <v>73574.5</v>
      </c>
      <c r="G95" s="201">
        <v>13243.4</v>
      </c>
      <c r="K95" s="9"/>
      <c r="Q95" s="18"/>
    </row>
    <row r="96" spans="1:17" x14ac:dyDescent="0.3">
      <c r="A96" t="s">
        <v>260</v>
      </c>
      <c r="B96" t="s">
        <v>261</v>
      </c>
      <c r="C96" t="s">
        <v>38</v>
      </c>
      <c r="D96" t="s">
        <v>267</v>
      </c>
      <c r="E96" s="9">
        <v>46153</v>
      </c>
      <c r="F96" s="201">
        <v>70169.490000000005</v>
      </c>
      <c r="G96" s="201">
        <v>12630.51</v>
      </c>
      <c r="K96" s="9"/>
      <c r="Q96" s="18"/>
    </row>
    <row r="97" spans="1:17" x14ac:dyDescent="0.3">
      <c r="A97" t="s">
        <v>85</v>
      </c>
      <c r="B97" t="s">
        <v>86</v>
      </c>
      <c r="C97" t="s">
        <v>38</v>
      </c>
      <c r="D97" t="s">
        <v>268</v>
      </c>
      <c r="E97" s="9">
        <v>46170</v>
      </c>
      <c r="F97" s="201">
        <v>69939.34</v>
      </c>
      <c r="G97" s="201">
        <v>12589.08</v>
      </c>
      <c r="K97" s="9"/>
      <c r="Q97" s="18"/>
    </row>
    <row r="98" spans="1:17" x14ac:dyDescent="0.3">
      <c r="A98" t="s">
        <v>85</v>
      </c>
      <c r="B98" t="s">
        <v>86</v>
      </c>
      <c r="C98" t="s">
        <v>38</v>
      </c>
      <c r="D98" t="s">
        <v>269</v>
      </c>
      <c r="E98" s="9">
        <v>46161</v>
      </c>
      <c r="F98" s="201">
        <v>67723.39</v>
      </c>
      <c r="G98" s="201">
        <v>12190.21</v>
      </c>
      <c r="K98" s="9"/>
      <c r="Q98" s="18"/>
    </row>
    <row r="99" spans="1:17" x14ac:dyDescent="0.3">
      <c r="A99" t="s">
        <v>85</v>
      </c>
      <c r="B99" t="s">
        <v>86</v>
      </c>
      <c r="C99" t="s">
        <v>38</v>
      </c>
      <c r="D99" t="s">
        <v>270</v>
      </c>
      <c r="E99" s="9">
        <v>46160</v>
      </c>
      <c r="F99" s="201">
        <v>66353.990000000005</v>
      </c>
      <c r="G99" s="201">
        <v>11943.71</v>
      </c>
      <c r="K99" s="9"/>
      <c r="Q99" s="18"/>
    </row>
    <row r="100" spans="1:17" x14ac:dyDescent="0.3">
      <c r="A100" t="s">
        <v>85</v>
      </c>
      <c r="B100" t="s">
        <v>86</v>
      </c>
      <c r="C100" t="s">
        <v>38</v>
      </c>
      <c r="D100" t="s">
        <v>271</v>
      </c>
      <c r="E100" s="9">
        <v>46168</v>
      </c>
      <c r="F100" s="201">
        <v>58710.21</v>
      </c>
      <c r="G100" s="201">
        <v>10567.83</v>
      </c>
      <c r="K100" s="9"/>
      <c r="Q100" s="18"/>
    </row>
    <row r="101" spans="1:17" x14ac:dyDescent="0.3">
      <c r="A101" t="s">
        <v>260</v>
      </c>
      <c r="B101" t="s">
        <v>261</v>
      </c>
      <c r="C101" t="s">
        <v>38</v>
      </c>
      <c r="D101" t="s">
        <v>272</v>
      </c>
      <c r="E101" s="9">
        <v>46161</v>
      </c>
      <c r="F101" s="201">
        <v>55593.22</v>
      </c>
      <c r="G101" s="201">
        <v>10006.780000000001</v>
      </c>
      <c r="K101" s="9"/>
      <c r="Q101" s="18"/>
    </row>
    <row r="102" spans="1:17" x14ac:dyDescent="0.3">
      <c r="A102" t="s">
        <v>85</v>
      </c>
      <c r="B102" t="s">
        <v>86</v>
      </c>
      <c r="C102" t="s">
        <v>38</v>
      </c>
      <c r="D102" t="s">
        <v>273</v>
      </c>
      <c r="E102" s="9">
        <v>46165</v>
      </c>
      <c r="F102" s="201">
        <v>54900.77</v>
      </c>
      <c r="G102" s="201">
        <v>9882.1299999999992</v>
      </c>
      <c r="K102" s="9"/>
      <c r="Q102" s="18"/>
    </row>
    <row r="103" spans="1:17" x14ac:dyDescent="0.3">
      <c r="A103" t="s">
        <v>85</v>
      </c>
      <c r="B103" t="s">
        <v>86</v>
      </c>
      <c r="C103" t="s">
        <v>38</v>
      </c>
      <c r="D103" t="s">
        <v>274</v>
      </c>
      <c r="E103" s="9">
        <v>46147</v>
      </c>
      <c r="F103" s="201">
        <v>53083.19</v>
      </c>
      <c r="G103" s="201">
        <v>9554.9699999999993</v>
      </c>
      <c r="K103" s="9"/>
      <c r="Q103" s="18"/>
    </row>
    <row r="104" spans="1:17" x14ac:dyDescent="0.3">
      <c r="A104" t="s">
        <v>85</v>
      </c>
      <c r="B104" t="s">
        <v>86</v>
      </c>
      <c r="C104" t="s">
        <v>38</v>
      </c>
      <c r="D104" t="s">
        <v>275</v>
      </c>
      <c r="E104" s="9">
        <v>46171</v>
      </c>
      <c r="F104" s="201">
        <v>48302.720000000001</v>
      </c>
      <c r="G104" s="201">
        <v>8694.48</v>
      </c>
      <c r="K104" s="9"/>
      <c r="Q104" s="18"/>
    </row>
    <row r="105" spans="1:17" x14ac:dyDescent="0.3">
      <c r="A105" t="s">
        <v>260</v>
      </c>
      <c r="B105" t="s">
        <v>261</v>
      </c>
      <c r="C105" t="s">
        <v>38</v>
      </c>
      <c r="D105" t="s">
        <v>276</v>
      </c>
      <c r="E105" s="9">
        <v>46143</v>
      </c>
      <c r="F105" s="201">
        <v>46779.66</v>
      </c>
      <c r="G105" s="201">
        <v>8420.34</v>
      </c>
      <c r="K105" s="9"/>
      <c r="Q105" s="18"/>
    </row>
    <row r="106" spans="1:17" x14ac:dyDescent="0.3">
      <c r="A106" t="s">
        <v>85</v>
      </c>
      <c r="B106" t="s">
        <v>86</v>
      </c>
      <c r="C106" t="s">
        <v>38</v>
      </c>
      <c r="D106" t="s">
        <v>277</v>
      </c>
      <c r="E106" s="9">
        <v>46150</v>
      </c>
      <c r="F106" s="201">
        <v>46734.12</v>
      </c>
      <c r="G106" s="201">
        <v>8412.14</v>
      </c>
      <c r="K106" s="9"/>
      <c r="Q106" s="18"/>
    </row>
    <row r="107" spans="1:17" x14ac:dyDescent="0.3">
      <c r="A107" t="s">
        <v>85</v>
      </c>
      <c r="B107" t="s">
        <v>86</v>
      </c>
      <c r="C107" t="s">
        <v>38</v>
      </c>
      <c r="D107" t="s">
        <v>278</v>
      </c>
      <c r="E107" s="9">
        <v>46165</v>
      </c>
      <c r="F107" s="201">
        <v>45240.23</v>
      </c>
      <c r="G107" s="201">
        <v>8143.23</v>
      </c>
      <c r="K107" s="9"/>
      <c r="Q107" s="18"/>
    </row>
    <row r="108" spans="1:17" x14ac:dyDescent="0.3">
      <c r="A108" t="s">
        <v>85</v>
      </c>
      <c r="B108" t="s">
        <v>86</v>
      </c>
      <c r="C108" t="s">
        <v>38</v>
      </c>
      <c r="D108" t="s">
        <v>279</v>
      </c>
      <c r="E108" s="9">
        <v>46146</v>
      </c>
      <c r="F108" s="201">
        <v>45090.84</v>
      </c>
      <c r="G108" s="201">
        <v>8116.34</v>
      </c>
      <c r="K108" s="9"/>
      <c r="Q108" s="18"/>
    </row>
    <row r="109" spans="1:17" x14ac:dyDescent="0.3">
      <c r="A109" t="s">
        <v>85</v>
      </c>
      <c r="B109" t="s">
        <v>86</v>
      </c>
      <c r="C109" t="s">
        <v>38</v>
      </c>
      <c r="D109" t="s">
        <v>280</v>
      </c>
      <c r="E109" s="9">
        <v>46167</v>
      </c>
      <c r="F109" s="201">
        <v>43049.17</v>
      </c>
      <c r="G109" s="201">
        <v>7748.85</v>
      </c>
      <c r="K109" s="9"/>
      <c r="Q109" s="18"/>
    </row>
    <row r="110" spans="1:17" x14ac:dyDescent="0.3">
      <c r="A110" t="s">
        <v>85</v>
      </c>
      <c r="B110" t="s">
        <v>86</v>
      </c>
      <c r="C110" t="s">
        <v>38</v>
      </c>
      <c r="D110" t="s">
        <v>281</v>
      </c>
      <c r="E110" s="9">
        <v>46147</v>
      </c>
      <c r="F110" s="201">
        <v>37646.239999999998</v>
      </c>
      <c r="G110" s="201">
        <v>6776.32</v>
      </c>
      <c r="K110" s="9"/>
      <c r="Q110" s="18"/>
    </row>
    <row r="111" spans="1:17" x14ac:dyDescent="0.3">
      <c r="A111" t="s">
        <v>85</v>
      </c>
      <c r="B111" t="s">
        <v>86</v>
      </c>
      <c r="C111" t="s">
        <v>38</v>
      </c>
      <c r="D111" t="s">
        <v>282</v>
      </c>
      <c r="E111" s="9">
        <v>46159</v>
      </c>
      <c r="F111" s="201">
        <v>31820.04</v>
      </c>
      <c r="G111" s="201">
        <v>5727.6</v>
      </c>
      <c r="K111" s="9"/>
      <c r="Q111" s="18"/>
    </row>
    <row r="112" spans="1:17" ht="16.2" customHeight="1" x14ac:dyDescent="0.3">
      <c r="A112" t="s">
        <v>85</v>
      </c>
      <c r="B112" t="s">
        <v>86</v>
      </c>
      <c r="C112" t="s">
        <v>38</v>
      </c>
      <c r="D112" t="s">
        <v>283</v>
      </c>
      <c r="E112" s="9">
        <v>46151</v>
      </c>
      <c r="F112" s="201">
        <v>28857.14</v>
      </c>
      <c r="G112" s="201">
        <v>5194.28</v>
      </c>
      <c r="K112" s="9"/>
      <c r="Q112" s="18"/>
    </row>
    <row r="113" spans="1:17" ht="17.399999999999999" customHeight="1" x14ac:dyDescent="0.3">
      <c r="A113" t="s">
        <v>85</v>
      </c>
      <c r="B113" t="s">
        <v>86</v>
      </c>
      <c r="C113" t="s">
        <v>38</v>
      </c>
      <c r="D113" t="s">
        <v>284</v>
      </c>
      <c r="E113" s="9">
        <v>46159</v>
      </c>
      <c r="F113" s="201">
        <v>23279.919999999998</v>
      </c>
      <c r="G113" s="201">
        <v>4190.38</v>
      </c>
      <c r="K113" s="9"/>
      <c r="Q113" s="18"/>
    </row>
    <row r="114" spans="1:17" ht="17.399999999999999" customHeight="1" x14ac:dyDescent="0.3">
      <c r="F114" s="216">
        <v>402610</v>
      </c>
      <c r="G114" s="216">
        <f>SUM(G89:G113)</f>
        <v>402609.59000000008</v>
      </c>
      <c r="K114" s="9"/>
      <c r="Q114" s="18"/>
    </row>
    <row r="115" spans="1:17" x14ac:dyDescent="0.3">
      <c r="A115" t="s">
        <v>83</v>
      </c>
      <c r="B115" t="s">
        <v>60</v>
      </c>
      <c r="C115" t="s">
        <v>38</v>
      </c>
      <c r="D115" t="s">
        <v>285</v>
      </c>
      <c r="E115" s="9">
        <v>46149</v>
      </c>
      <c r="F115" s="201">
        <v>505000</v>
      </c>
      <c r="G115" s="201">
        <v>0</v>
      </c>
      <c r="K115" s="9"/>
      <c r="Q115" s="18"/>
    </row>
    <row r="116" spans="1:17" x14ac:dyDescent="0.3">
      <c r="A116" t="s">
        <v>83</v>
      </c>
      <c r="B116" t="s">
        <v>60</v>
      </c>
      <c r="C116" t="s">
        <v>38</v>
      </c>
      <c r="D116" t="s">
        <v>286</v>
      </c>
      <c r="E116" s="9">
        <v>46149</v>
      </c>
      <c r="F116" s="201">
        <v>50500</v>
      </c>
      <c r="G116" s="201">
        <v>0</v>
      </c>
      <c r="K116" s="9"/>
      <c r="Q116" s="8"/>
    </row>
    <row r="117" spans="1:17" x14ac:dyDescent="0.3">
      <c r="A117" t="s">
        <v>83</v>
      </c>
      <c r="B117" t="s">
        <v>60</v>
      </c>
      <c r="C117" t="s">
        <v>38</v>
      </c>
      <c r="D117" t="s">
        <v>287</v>
      </c>
      <c r="E117" s="9">
        <v>46160</v>
      </c>
      <c r="F117" s="201">
        <v>494900</v>
      </c>
      <c r="G117" s="201">
        <v>0</v>
      </c>
      <c r="K117" s="9"/>
      <c r="Q117" s="8"/>
    </row>
    <row r="118" spans="1:17" x14ac:dyDescent="0.3">
      <c r="A118" t="s">
        <v>288</v>
      </c>
      <c r="B118" t="s">
        <v>289</v>
      </c>
      <c r="C118" t="s">
        <v>38</v>
      </c>
      <c r="D118" t="s">
        <v>290</v>
      </c>
      <c r="E118" s="9">
        <v>46150</v>
      </c>
      <c r="F118" s="201">
        <v>76500</v>
      </c>
      <c r="G118" s="201">
        <v>0</v>
      </c>
      <c r="K118" s="9"/>
      <c r="Q118" s="8"/>
    </row>
    <row r="119" spans="1:17" x14ac:dyDescent="0.3">
      <c r="A119" t="s">
        <v>288</v>
      </c>
      <c r="B119" t="s">
        <v>289</v>
      </c>
      <c r="C119" t="s">
        <v>38</v>
      </c>
      <c r="D119" t="s">
        <v>291</v>
      </c>
      <c r="E119" s="9">
        <v>46155</v>
      </c>
      <c r="F119" s="201">
        <v>76500</v>
      </c>
      <c r="G119" s="201">
        <v>0</v>
      </c>
      <c r="K119" s="9"/>
      <c r="Q119" s="8"/>
    </row>
    <row r="120" spans="1:17" x14ac:dyDescent="0.3">
      <c r="A120" t="s">
        <v>288</v>
      </c>
      <c r="B120" t="s">
        <v>289</v>
      </c>
      <c r="C120" t="s">
        <v>38</v>
      </c>
      <c r="D120" t="s">
        <v>292</v>
      </c>
      <c r="E120" s="9">
        <v>46171</v>
      </c>
      <c r="F120" s="201">
        <v>76500</v>
      </c>
      <c r="G120" s="201">
        <v>0</v>
      </c>
      <c r="K120" s="9"/>
      <c r="Q120" s="8"/>
    </row>
    <row r="121" spans="1:17" ht="21" x14ac:dyDescent="0.4">
      <c r="F121" s="221">
        <f>SUM(F89:F113)+SUM(F115:F120)</f>
        <v>3516620.5300000003</v>
      </c>
      <c r="G121" s="201"/>
      <c r="K121" s="9"/>
      <c r="Q121" s="8"/>
    </row>
    <row r="122" spans="1:17" ht="18" x14ac:dyDescent="0.35">
      <c r="A122" s="203"/>
      <c r="B122" s="204" t="s">
        <v>371</v>
      </c>
      <c r="C122" s="204"/>
      <c r="D122" s="204"/>
      <c r="E122" s="204"/>
      <c r="F122" s="205"/>
      <c r="G122" s="205"/>
      <c r="K122" s="9"/>
      <c r="Q122" s="8"/>
    </row>
    <row r="123" spans="1:17" x14ac:dyDescent="0.3">
      <c r="A123" t="s">
        <v>257</v>
      </c>
      <c r="B123" t="s">
        <v>258</v>
      </c>
      <c r="C123" t="s">
        <v>38</v>
      </c>
      <c r="D123" t="s">
        <v>301</v>
      </c>
      <c r="E123" s="9">
        <v>46190</v>
      </c>
      <c r="F123" s="201">
        <v>353898.31</v>
      </c>
      <c r="G123" s="201">
        <v>63701.69</v>
      </c>
      <c r="K123" s="29"/>
      <c r="Q123" s="8"/>
    </row>
    <row r="124" spans="1:17" x14ac:dyDescent="0.3">
      <c r="A124" t="s">
        <v>260</v>
      </c>
      <c r="B124" t="s">
        <v>261</v>
      </c>
      <c r="C124" t="s">
        <v>38</v>
      </c>
      <c r="D124" t="s">
        <v>302</v>
      </c>
      <c r="E124" s="9">
        <v>46182</v>
      </c>
      <c r="F124" s="201">
        <v>127118.64</v>
      </c>
      <c r="G124" s="201">
        <v>22881.360000000001</v>
      </c>
      <c r="K124" s="24"/>
      <c r="Q124" s="8"/>
    </row>
    <row r="125" spans="1:17" x14ac:dyDescent="0.3">
      <c r="A125" t="s">
        <v>303</v>
      </c>
      <c r="B125" t="s">
        <v>304</v>
      </c>
      <c r="C125" t="s">
        <v>38</v>
      </c>
      <c r="D125" t="s">
        <v>305</v>
      </c>
      <c r="E125" s="9">
        <v>46197</v>
      </c>
      <c r="F125" s="201">
        <v>111864.41</v>
      </c>
      <c r="G125" s="201">
        <v>20135.59</v>
      </c>
      <c r="K125" s="24"/>
      <c r="Q125" s="8"/>
    </row>
    <row r="126" spans="1:17" x14ac:dyDescent="0.3">
      <c r="A126" t="s">
        <v>306</v>
      </c>
      <c r="B126" t="s">
        <v>307</v>
      </c>
      <c r="C126" t="s">
        <v>38</v>
      </c>
      <c r="D126" t="s">
        <v>308</v>
      </c>
      <c r="E126" s="9">
        <v>46174</v>
      </c>
      <c r="F126" s="201">
        <v>86745.76</v>
      </c>
      <c r="G126" s="201">
        <v>15614.24</v>
      </c>
      <c r="K126" s="24"/>
      <c r="Q126" s="8"/>
    </row>
    <row r="127" spans="1:17" x14ac:dyDescent="0.3">
      <c r="A127" t="s">
        <v>85</v>
      </c>
      <c r="B127" t="s">
        <v>86</v>
      </c>
      <c r="C127" t="s">
        <v>38</v>
      </c>
      <c r="D127" t="s">
        <v>309</v>
      </c>
      <c r="E127" s="9">
        <v>46199</v>
      </c>
      <c r="F127" s="201">
        <v>82587.679999999993</v>
      </c>
      <c r="G127" s="201">
        <v>14865.78</v>
      </c>
      <c r="K127" s="24"/>
      <c r="Q127" s="8"/>
    </row>
    <row r="128" spans="1:17" x14ac:dyDescent="0.3">
      <c r="A128" t="s">
        <v>85</v>
      </c>
      <c r="B128" t="s">
        <v>86</v>
      </c>
      <c r="C128" t="s">
        <v>38</v>
      </c>
      <c r="D128" t="s">
        <v>310</v>
      </c>
      <c r="E128" s="9">
        <v>46184</v>
      </c>
      <c r="F128" s="201">
        <v>70910.38</v>
      </c>
      <c r="G128" s="201">
        <v>12763.86</v>
      </c>
      <c r="K128" s="24"/>
      <c r="Q128" s="8"/>
    </row>
    <row r="129" spans="1:17" x14ac:dyDescent="0.3">
      <c r="A129" t="s">
        <v>85</v>
      </c>
      <c r="B129" t="s">
        <v>86</v>
      </c>
      <c r="C129" t="s">
        <v>38</v>
      </c>
      <c r="D129" t="s">
        <v>311</v>
      </c>
      <c r="E129" s="9">
        <v>46175</v>
      </c>
      <c r="F129" s="201">
        <v>69765.06</v>
      </c>
      <c r="G129" s="201">
        <v>12557.7</v>
      </c>
      <c r="K129" s="24"/>
      <c r="Q129" s="8"/>
    </row>
    <row r="130" spans="1:17" x14ac:dyDescent="0.3">
      <c r="A130" t="s">
        <v>85</v>
      </c>
      <c r="B130" t="s">
        <v>86</v>
      </c>
      <c r="C130" t="s">
        <v>38</v>
      </c>
      <c r="D130" t="s">
        <v>312</v>
      </c>
      <c r="E130" s="9">
        <v>46197</v>
      </c>
      <c r="F130" s="201">
        <v>68445.45</v>
      </c>
      <c r="G130" s="201">
        <v>12320.17</v>
      </c>
      <c r="K130" s="9"/>
      <c r="Q130" s="8"/>
    </row>
    <row r="131" spans="1:17" x14ac:dyDescent="0.3">
      <c r="A131" t="s">
        <v>85</v>
      </c>
      <c r="B131" t="s">
        <v>86</v>
      </c>
      <c r="C131" t="s">
        <v>38</v>
      </c>
      <c r="D131" t="s">
        <v>313</v>
      </c>
      <c r="E131" s="9">
        <v>46192</v>
      </c>
      <c r="F131" s="201">
        <v>66129.899999999994</v>
      </c>
      <c r="G131" s="201">
        <v>11903.38</v>
      </c>
      <c r="K131" s="9"/>
      <c r="Q131" s="8"/>
    </row>
    <row r="132" spans="1:17" x14ac:dyDescent="0.3">
      <c r="A132" t="s">
        <v>89</v>
      </c>
      <c r="B132" t="s">
        <v>90</v>
      </c>
      <c r="C132" t="s">
        <v>38</v>
      </c>
      <c r="D132" t="s">
        <v>314</v>
      </c>
      <c r="E132" s="9">
        <v>46199</v>
      </c>
      <c r="F132" s="201">
        <v>61440.68</v>
      </c>
      <c r="G132" s="201">
        <v>11059.32</v>
      </c>
      <c r="K132" s="9"/>
      <c r="Q132" s="8"/>
    </row>
    <row r="133" spans="1:17" x14ac:dyDescent="0.3">
      <c r="A133" t="s">
        <v>85</v>
      </c>
      <c r="B133" t="s">
        <v>86</v>
      </c>
      <c r="C133" t="s">
        <v>38</v>
      </c>
      <c r="D133" t="s">
        <v>315</v>
      </c>
      <c r="E133" s="9">
        <v>46178</v>
      </c>
      <c r="F133" s="201">
        <v>59830.63</v>
      </c>
      <c r="G133" s="201">
        <v>10769.51</v>
      </c>
      <c r="K133" s="9"/>
      <c r="Q133" s="8"/>
    </row>
    <row r="134" spans="1:17" x14ac:dyDescent="0.3">
      <c r="A134" t="s">
        <v>87</v>
      </c>
      <c r="B134" t="s">
        <v>88</v>
      </c>
      <c r="C134" t="s">
        <v>38</v>
      </c>
      <c r="D134" t="s">
        <v>316</v>
      </c>
      <c r="E134" s="9">
        <v>46192</v>
      </c>
      <c r="F134" s="201">
        <v>58050.85</v>
      </c>
      <c r="G134" s="201">
        <v>10449.15</v>
      </c>
      <c r="K134" s="9"/>
      <c r="Q134" s="8"/>
    </row>
    <row r="135" spans="1:17" x14ac:dyDescent="0.3">
      <c r="A135" t="s">
        <v>85</v>
      </c>
      <c r="B135" t="s">
        <v>86</v>
      </c>
      <c r="C135" t="s">
        <v>38</v>
      </c>
      <c r="D135" t="s">
        <v>317</v>
      </c>
      <c r="E135" s="9">
        <v>46195</v>
      </c>
      <c r="F135" s="201">
        <v>55971.39</v>
      </c>
      <c r="G135" s="201">
        <v>10074.85</v>
      </c>
      <c r="K135" s="9"/>
      <c r="Q135" s="8"/>
    </row>
    <row r="136" spans="1:17" x14ac:dyDescent="0.3">
      <c r="A136" t="s">
        <v>85</v>
      </c>
      <c r="B136" t="s">
        <v>86</v>
      </c>
      <c r="C136" t="s">
        <v>38</v>
      </c>
      <c r="D136" t="s">
        <v>318</v>
      </c>
      <c r="E136" s="9">
        <v>46182</v>
      </c>
      <c r="F136" s="201">
        <v>55946.5</v>
      </c>
      <c r="G136" s="201">
        <v>10070.36</v>
      </c>
      <c r="K136" s="9"/>
      <c r="Q136" s="8"/>
    </row>
    <row r="137" spans="1:17" x14ac:dyDescent="0.3">
      <c r="A137" t="s">
        <v>85</v>
      </c>
      <c r="B137" t="s">
        <v>86</v>
      </c>
      <c r="C137" t="s">
        <v>38</v>
      </c>
      <c r="D137" t="s">
        <v>319</v>
      </c>
      <c r="E137" s="9">
        <v>46177</v>
      </c>
      <c r="F137" s="201">
        <v>52933.8</v>
      </c>
      <c r="G137" s="201">
        <v>9528.08</v>
      </c>
      <c r="K137" s="9"/>
      <c r="Q137" s="8"/>
    </row>
    <row r="138" spans="1:17" x14ac:dyDescent="0.3">
      <c r="A138" t="s">
        <v>85</v>
      </c>
      <c r="B138" t="s">
        <v>86</v>
      </c>
      <c r="C138" t="s">
        <v>38</v>
      </c>
      <c r="D138" t="s">
        <v>320</v>
      </c>
      <c r="E138" s="9">
        <v>46202</v>
      </c>
      <c r="F138" s="201">
        <v>48477</v>
      </c>
      <c r="G138" s="201">
        <v>8725.86</v>
      </c>
      <c r="K138" s="9"/>
      <c r="Q138" s="8"/>
    </row>
    <row r="139" spans="1:17" x14ac:dyDescent="0.3">
      <c r="A139" t="s">
        <v>85</v>
      </c>
      <c r="B139" t="s">
        <v>86</v>
      </c>
      <c r="C139" t="s">
        <v>38</v>
      </c>
      <c r="D139" t="s">
        <v>321</v>
      </c>
      <c r="E139" s="9">
        <v>46189</v>
      </c>
      <c r="F139" s="201">
        <v>45887.58</v>
      </c>
      <c r="G139" s="201">
        <v>8259.76</v>
      </c>
      <c r="K139" s="9"/>
      <c r="Q139" s="8"/>
    </row>
    <row r="140" spans="1:17" x14ac:dyDescent="0.3">
      <c r="A140" t="s">
        <v>85</v>
      </c>
      <c r="B140" t="s">
        <v>86</v>
      </c>
      <c r="C140" t="s">
        <v>38</v>
      </c>
      <c r="D140" t="s">
        <v>322</v>
      </c>
      <c r="E140" s="9">
        <v>46185</v>
      </c>
      <c r="F140" s="201">
        <v>43945.51</v>
      </c>
      <c r="G140" s="201">
        <v>7910.19</v>
      </c>
      <c r="K140" s="9"/>
      <c r="Q140" s="8"/>
    </row>
    <row r="141" spans="1:17" x14ac:dyDescent="0.3">
      <c r="A141" t="s">
        <v>323</v>
      </c>
      <c r="B141" t="s">
        <v>324</v>
      </c>
      <c r="C141" t="s">
        <v>38</v>
      </c>
      <c r="D141" t="s">
        <v>325</v>
      </c>
      <c r="E141" s="9">
        <v>46191</v>
      </c>
      <c r="F141" s="201">
        <v>43220.34</v>
      </c>
      <c r="G141" s="201">
        <v>7779.66</v>
      </c>
      <c r="K141" s="9"/>
      <c r="Q141" s="8"/>
    </row>
    <row r="142" spans="1:17" x14ac:dyDescent="0.3">
      <c r="A142" t="s">
        <v>85</v>
      </c>
      <c r="B142" t="s">
        <v>86</v>
      </c>
      <c r="C142" t="s">
        <v>38</v>
      </c>
      <c r="D142" t="s">
        <v>326</v>
      </c>
      <c r="E142" s="9">
        <v>46191</v>
      </c>
      <c r="F142" s="201">
        <v>42899.78</v>
      </c>
      <c r="G142" s="201">
        <v>7721.96</v>
      </c>
      <c r="K142" s="9"/>
      <c r="Q142" s="8"/>
    </row>
    <row r="143" spans="1:17" x14ac:dyDescent="0.3">
      <c r="A143" t="s">
        <v>85</v>
      </c>
      <c r="B143" t="s">
        <v>86</v>
      </c>
      <c r="C143" t="s">
        <v>38</v>
      </c>
      <c r="D143" t="s">
        <v>327</v>
      </c>
      <c r="E143" s="9">
        <v>46188</v>
      </c>
      <c r="F143" s="201">
        <v>42003.45</v>
      </c>
      <c r="G143" s="201">
        <v>7560.61</v>
      </c>
      <c r="K143" s="9"/>
      <c r="Q143" s="8"/>
    </row>
    <row r="144" spans="1:17" x14ac:dyDescent="0.3">
      <c r="A144" t="s">
        <v>85</v>
      </c>
      <c r="B144" t="s">
        <v>86</v>
      </c>
      <c r="C144" t="s">
        <v>38</v>
      </c>
      <c r="D144" t="s">
        <v>328</v>
      </c>
      <c r="E144" s="9">
        <v>46190</v>
      </c>
      <c r="F144" s="201">
        <v>40783.43</v>
      </c>
      <c r="G144" s="201">
        <v>7341.01</v>
      </c>
      <c r="K144" s="9"/>
      <c r="Q144" s="8"/>
    </row>
    <row r="145" spans="1:17" x14ac:dyDescent="0.3">
      <c r="A145" t="s">
        <v>329</v>
      </c>
      <c r="B145" t="s">
        <v>330</v>
      </c>
      <c r="C145" t="s">
        <v>38</v>
      </c>
      <c r="D145" t="s">
        <v>331</v>
      </c>
      <c r="E145" s="9">
        <v>46190</v>
      </c>
      <c r="F145" s="201">
        <v>25423.73</v>
      </c>
      <c r="G145" s="201">
        <v>4576.2700000000004</v>
      </c>
      <c r="K145" s="9"/>
      <c r="Q145" s="8"/>
    </row>
    <row r="146" spans="1:17" x14ac:dyDescent="0.3">
      <c r="A146" t="s">
        <v>85</v>
      </c>
      <c r="B146" t="s">
        <v>86</v>
      </c>
      <c r="C146" t="s">
        <v>38</v>
      </c>
      <c r="D146" t="s">
        <v>332</v>
      </c>
      <c r="E146" s="9">
        <v>46182</v>
      </c>
      <c r="F146" s="201">
        <v>25421.17</v>
      </c>
      <c r="G146" s="201">
        <v>4575.8100000000004</v>
      </c>
      <c r="K146" s="9"/>
      <c r="Q146" s="8"/>
    </row>
    <row r="147" spans="1:17" x14ac:dyDescent="0.3">
      <c r="A147" t="s">
        <v>85</v>
      </c>
      <c r="B147" t="s">
        <v>86</v>
      </c>
      <c r="C147" t="s">
        <v>38</v>
      </c>
      <c r="D147" t="s">
        <v>333</v>
      </c>
      <c r="E147" s="9">
        <v>46190</v>
      </c>
      <c r="F147" s="201">
        <v>25421.17</v>
      </c>
      <c r="G147" s="201">
        <v>4575.8100000000004</v>
      </c>
      <c r="K147" s="9"/>
      <c r="Q147" s="8"/>
    </row>
    <row r="148" spans="1:17" x14ac:dyDescent="0.3">
      <c r="A148" t="s">
        <v>85</v>
      </c>
      <c r="B148" t="s">
        <v>86</v>
      </c>
      <c r="C148" t="s">
        <v>38</v>
      </c>
      <c r="D148" t="s">
        <v>334</v>
      </c>
      <c r="E148" s="9">
        <v>46202</v>
      </c>
      <c r="F148" s="201">
        <v>25421.17</v>
      </c>
      <c r="G148" s="201">
        <v>4575.8100000000004</v>
      </c>
      <c r="K148" s="9"/>
      <c r="Q148" s="8"/>
    </row>
    <row r="149" spans="1:17" x14ac:dyDescent="0.3">
      <c r="A149" t="s">
        <v>335</v>
      </c>
      <c r="B149" t="s">
        <v>336</v>
      </c>
      <c r="C149" t="s">
        <v>38</v>
      </c>
      <c r="D149" t="s">
        <v>337</v>
      </c>
      <c r="E149" s="9">
        <v>46178</v>
      </c>
      <c r="F149" s="201">
        <v>21186.44</v>
      </c>
      <c r="G149" s="201">
        <v>3813.56</v>
      </c>
      <c r="K149" s="9"/>
      <c r="Q149" s="8"/>
    </row>
    <row r="150" spans="1:17" x14ac:dyDescent="0.3">
      <c r="A150" t="s">
        <v>89</v>
      </c>
      <c r="B150" t="s">
        <v>90</v>
      </c>
      <c r="C150" t="s">
        <v>38</v>
      </c>
      <c r="D150" t="s">
        <v>338</v>
      </c>
      <c r="E150" s="9">
        <v>46200</v>
      </c>
      <c r="F150" s="201">
        <v>73027.12</v>
      </c>
      <c r="G150" s="201">
        <v>3172.88</v>
      </c>
      <c r="K150" s="9"/>
      <c r="Q150" s="8"/>
    </row>
    <row r="151" spans="1:17" x14ac:dyDescent="0.3">
      <c r="A151" t="s">
        <v>85</v>
      </c>
      <c r="B151" t="s">
        <v>86</v>
      </c>
      <c r="C151" t="s">
        <v>38</v>
      </c>
      <c r="D151" t="s">
        <v>339</v>
      </c>
      <c r="E151" s="9">
        <v>46183</v>
      </c>
      <c r="F151" s="201">
        <v>16955.75</v>
      </c>
      <c r="G151" s="201">
        <v>3052.03</v>
      </c>
      <c r="K151" s="9"/>
      <c r="Q151" s="8"/>
    </row>
    <row r="152" spans="1:17" x14ac:dyDescent="0.3">
      <c r="A152" t="s">
        <v>85</v>
      </c>
      <c r="B152" t="s">
        <v>86</v>
      </c>
      <c r="C152" t="s">
        <v>38</v>
      </c>
      <c r="D152" t="s">
        <v>340</v>
      </c>
      <c r="E152" s="9">
        <v>46184</v>
      </c>
      <c r="F152" s="201">
        <v>16955.75</v>
      </c>
      <c r="G152" s="201">
        <v>3052.03</v>
      </c>
      <c r="K152" s="9"/>
      <c r="Q152" s="8"/>
    </row>
    <row r="153" spans="1:17" x14ac:dyDescent="0.3">
      <c r="A153" t="s">
        <v>85</v>
      </c>
      <c r="B153" t="s">
        <v>86</v>
      </c>
      <c r="C153" t="s">
        <v>38</v>
      </c>
      <c r="D153" t="s">
        <v>341</v>
      </c>
      <c r="E153" s="9">
        <v>46196</v>
      </c>
      <c r="F153" s="201">
        <v>16955.75</v>
      </c>
      <c r="G153" s="201">
        <v>3052.03</v>
      </c>
      <c r="K153" s="9"/>
      <c r="Q153" s="8"/>
    </row>
    <row r="154" spans="1:17" x14ac:dyDescent="0.3">
      <c r="A154" t="s">
        <v>85</v>
      </c>
      <c r="B154" t="s">
        <v>86</v>
      </c>
      <c r="C154" t="s">
        <v>38</v>
      </c>
      <c r="D154" t="s">
        <v>342</v>
      </c>
      <c r="E154" s="9">
        <v>46200</v>
      </c>
      <c r="F154" s="201">
        <v>16955.75</v>
      </c>
      <c r="G154" s="201">
        <v>3052.03</v>
      </c>
      <c r="K154" s="9"/>
      <c r="Q154" s="8"/>
    </row>
    <row r="155" spans="1:17" x14ac:dyDescent="0.3">
      <c r="A155" t="s">
        <v>343</v>
      </c>
      <c r="B155" t="s">
        <v>344</v>
      </c>
      <c r="C155" t="s">
        <v>38</v>
      </c>
      <c r="D155" t="s">
        <v>345</v>
      </c>
      <c r="E155" s="9">
        <v>46199</v>
      </c>
      <c r="F155" s="201">
        <v>14347.46</v>
      </c>
      <c r="G155" s="201">
        <v>2582.54</v>
      </c>
      <c r="K155" s="9"/>
      <c r="Q155" s="8"/>
    </row>
    <row r="156" spans="1:17" x14ac:dyDescent="0.3">
      <c r="A156" t="s">
        <v>346</v>
      </c>
      <c r="B156" t="s">
        <v>347</v>
      </c>
      <c r="C156" t="s">
        <v>38</v>
      </c>
      <c r="D156" t="s">
        <v>348</v>
      </c>
      <c r="E156" s="9">
        <v>46191</v>
      </c>
      <c r="F156" s="201">
        <v>10169.49</v>
      </c>
      <c r="G156" s="201">
        <v>1830.51</v>
      </c>
      <c r="K156" s="9"/>
      <c r="Q156" s="8"/>
    </row>
    <row r="157" spans="1:17" x14ac:dyDescent="0.3">
      <c r="F157" s="216">
        <v>345905</v>
      </c>
      <c r="G157" s="216">
        <f>SUM(G123:G156)</f>
        <v>345905.4000000002</v>
      </c>
      <c r="K157" s="9"/>
      <c r="Q157" s="8"/>
    </row>
    <row r="158" spans="1:17" x14ac:dyDescent="0.3">
      <c r="A158" t="s">
        <v>349</v>
      </c>
      <c r="B158" t="s">
        <v>350</v>
      </c>
      <c r="C158" t="s">
        <v>38</v>
      </c>
      <c r="D158" t="s">
        <v>351</v>
      </c>
      <c r="E158" s="9">
        <v>46174</v>
      </c>
      <c r="F158" s="201">
        <v>70000</v>
      </c>
      <c r="G158" s="201">
        <v>0</v>
      </c>
      <c r="K158" s="9"/>
      <c r="Q158" s="8"/>
    </row>
    <row r="159" spans="1:17" x14ac:dyDescent="0.3">
      <c r="A159" t="s">
        <v>352</v>
      </c>
      <c r="B159" t="s">
        <v>353</v>
      </c>
      <c r="C159" t="s">
        <v>38</v>
      </c>
      <c r="D159" t="s">
        <v>354</v>
      </c>
      <c r="E159" s="9">
        <v>46174</v>
      </c>
      <c r="F159" s="201">
        <v>250000</v>
      </c>
      <c r="G159" s="201">
        <v>0</v>
      </c>
      <c r="K159" s="9"/>
      <c r="Q159" s="8"/>
    </row>
    <row r="160" spans="1:17" x14ac:dyDescent="0.3">
      <c r="A160" t="s">
        <v>355</v>
      </c>
      <c r="B160" t="s">
        <v>356</v>
      </c>
      <c r="C160" t="s">
        <v>38</v>
      </c>
      <c r="D160" t="s">
        <v>357</v>
      </c>
      <c r="E160" s="9">
        <v>46199</v>
      </c>
      <c r="F160" s="201">
        <v>20000</v>
      </c>
      <c r="G160" s="201">
        <v>0</v>
      </c>
    </row>
    <row r="161" spans="1:17" ht="15.6" x14ac:dyDescent="0.3">
      <c r="A161" t="s">
        <v>358</v>
      </c>
      <c r="B161" t="s">
        <v>359</v>
      </c>
      <c r="C161" t="s">
        <v>38</v>
      </c>
      <c r="D161" t="s">
        <v>360</v>
      </c>
      <c r="E161" s="9">
        <v>46174</v>
      </c>
      <c r="F161" s="201">
        <v>250000</v>
      </c>
      <c r="G161" s="201">
        <v>0</v>
      </c>
      <c r="K161" s="131"/>
      <c r="L161" s="210"/>
      <c r="M161" s="109"/>
      <c r="N161" s="109"/>
      <c r="O161" s="109"/>
      <c r="P161" s="106"/>
      <c r="Q161" s="106"/>
    </row>
    <row r="162" spans="1:17" ht="15.6" x14ac:dyDescent="0.3">
      <c r="A162" t="s">
        <v>358</v>
      </c>
      <c r="B162" t="s">
        <v>359</v>
      </c>
      <c r="C162" t="s">
        <v>38</v>
      </c>
      <c r="D162" t="s">
        <v>361</v>
      </c>
      <c r="E162" s="9">
        <v>46184</v>
      </c>
      <c r="F162" s="201">
        <v>797500</v>
      </c>
      <c r="G162" s="201">
        <v>0</v>
      </c>
      <c r="K162" s="131"/>
      <c r="L162" s="210"/>
      <c r="M162" s="109"/>
      <c r="N162" s="109"/>
      <c r="O162" s="109"/>
      <c r="P162" s="106"/>
      <c r="Q162" s="106"/>
    </row>
    <row r="163" spans="1:17" ht="15.6" x14ac:dyDescent="0.3">
      <c r="A163" t="s">
        <v>362</v>
      </c>
      <c r="B163" t="s">
        <v>363</v>
      </c>
      <c r="C163" t="s">
        <v>38</v>
      </c>
      <c r="D163" t="s">
        <v>364</v>
      </c>
      <c r="E163" s="9">
        <v>46202</v>
      </c>
      <c r="F163" s="201">
        <v>50000</v>
      </c>
      <c r="G163" s="201">
        <v>0</v>
      </c>
      <c r="K163" s="211"/>
      <c r="L163" s="210"/>
      <c r="M163" s="210"/>
      <c r="N163" s="210"/>
      <c r="O163" s="210"/>
      <c r="P163" s="105"/>
      <c r="Q163" s="105"/>
    </row>
    <row r="164" spans="1:17" ht="15.6" x14ac:dyDescent="0.3">
      <c r="A164" t="s">
        <v>288</v>
      </c>
      <c r="B164" t="s">
        <v>289</v>
      </c>
      <c r="C164" t="s">
        <v>38</v>
      </c>
      <c r="D164" t="s">
        <v>365</v>
      </c>
      <c r="E164" s="9">
        <v>46178</v>
      </c>
      <c r="F164" s="201">
        <v>115500</v>
      </c>
      <c r="G164" s="201">
        <v>0</v>
      </c>
      <c r="K164" s="211"/>
      <c r="L164" s="210"/>
      <c r="M164" s="210"/>
      <c r="N164" s="210"/>
      <c r="O164" s="210"/>
      <c r="P164" s="105"/>
      <c r="Q164" s="105"/>
    </row>
    <row r="165" spans="1:17" ht="15.6" x14ac:dyDescent="0.3">
      <c r="A165" t="s">
        <v>288</v>
      </c>
      <c r="B165" t="s">
        <v>289</v>
      </c>
      <c r="C165" t="s">
        <v>38</v>
      </c>
      <c r="D165" t="s">
        <v>366</v>
      </c>
      <c r="E165" s="9">
        <v>46182</v>
      </c>
      <c r="F165" s="201">
        <v>39000</v>
      </c>
      <c r="G165" s="201">
        <v>0</v>
      </c>
      <c r="K165" s="211"/>
      <c r="L165" s="210"/>
      <c r="M165" s="210"/>
      <c r="N165" s="210"/>
      <c r="O165" s="210"/>
      <c r="P165" s="105"/>
      <c r="Q165" s="105"/>
    </row>
    <row r="166" spans="1:17" ht="15.6" x14ac:dyDescent="0.3">
      <c r="A166" t="s">
        <v>288</v>
      </c>
      <c r="B166" t="s">
        <v>289</v>
      </c>
      <c r="C166" t="s">
        <v>38</v>
      </c>
      <c r="D166" t="s">
        <v>367</v>
      </c>
      <c r="E166" s="9">
        <v>46185</v>
      </c>
      <c r="F166" s="201">
        <v>76500</v>
      </c>
      <c r="G166" s="201">
        <v>0</v>
      </c>
      <c r="K166" s="131"/>
      <c r="L166" s="210"/>
      <c r="M166" s="109"/>
      <c r="N166" s="109"/>
      <c r="O166" s="109"/>
      <c r="P166" s="106"/>
      <c r="Q166" s="106"/>
    </row>
    <row r="167" spans="1:17" ht="15.6" x14ac:dyDescent="0.3">
      <c r="A167" t="s">
        <v>288</v>
      </c>
      <c r="B167" t="s">
        <v>289</v>
      </c>
      <c r="C167" t="s">
        <v>38</v>
      </c>
      <c r="D167" t="s">
        <v>368</v>
      </c>
      <c r="E167" s="9">
        <v>46190</v>
      </c>
      <c r="F167" s="201">
        <v>115500</v>
      </c>
      <c r="G167" s="201">
        <v>0</v>
      </c>
      <c r="K167" s="211"/>
      <c r="L167" s="210"/>
      <c r="M167" s="210"/>
      <c r="N167" s="210"/>
      <c r="O167" s="210"/>
      <c r="P167" s="105"/>
      <c r="Q167" s="105"/>
    </row>
    <row r="168" spans="1:17" ht="15.6" x14ac:dyDescent="0.3">
      <c r="A168" t="s">
        <v>83</v>
      </c>
      <c r="B168" t="s">
        <v>60</v>
      </c>
      <c r="C168" t="s">
        <v>38</v>
      </c>
      <c r="D168" t="s">
        <v>369</v>
      </c>
      <c r="E168" s="9">
        <v>46198</v>
      </c>
      <c r="F168" s="201">
        <v>527220</v>
      </c>
      <c r="G168" s="201">
        <v>0</v>
      </c>
      <c r="K168" s="131"/>
      <c r="L168" s="210"/>
      <c r="M168" s="109"/>
      <c r="N168" s="109"/>
      <c r="O168" s="109"/>
      <c r="P168" s="106"/>
      <c r="Q168" s="106"/>
    </row>
    <row r="169" spans="1:17" ht="15.6" x14ac:dyDescent="0.3">
      <c r="A169" t="s">
        <v>288</v>
      </c>
      <c r="B169" t="s">
        <v>289</v>
      </c>
      <c r="C169" t="s">
        <v>38</v>
      </c>
      <c r="D169" t="s">
        <v>370</v>
      </c>
      <c r="E169" s="9">
        <v>46202</v>
      </c>
      <c r="F169" s="201">
        <v>118500</v>
      </c>
      <c r="G169" s="201">
        <v>0</v>
      </c>
      <c r="K169" s="131"/>
      <c r="L169" s="210"/>
      <c r="M169" s="109"/>
      <c r="N169" s="210"/>
      <c r="O169" s="109"/>
      <c r="P169" s="106"/>
      <c r="Q169" s="106"/>
    </row>
    <row r="170" spans="1:17" ht="21" x14ac:dyDescent="0.4">
      <c r="F170" s="218">
        <f>SUM(F123:F156)+SUM(F158:F169)</f>
        <v>4406817.2799999993</v>
      </c>
      <c r="K170" s="131"/>
      <c r="L170" s="109"/>
      <c r="M170" s="109"/>
      <c r="N170" s="109"/>
      <c r="O170" s="109"/>
      <c r="P170" s="106"/>
      <c r="Q170" s="106"/>
    </row>
    <row r="171" spans="1:17" ht="15.6" x14ac:dyDescent="0.3">
      <c r="K171" s="211"/>
      <c r="L171" s="210"/>
      <c r="M171" s="210"/>
      <c r="N171" s="210"/>
      <c r="O171" s="210"/>
      <c r="P171" s="105"/>
      <c r="Q171" s="105"/>
    </row>
    <row r="172" spans="1:17" ht="15.6" x14ac:dyDescent="0.3">
      <c r="K172" s="211"/>
      <c r="L172" s="210"/>
      <c r="M172" s="210"/>
      <c r="N172" s="210"/>
      <c r="O172" s="210"/>
      <c r="P172" s="105"/>
      <c r="Q172" s="105"/>
    </row>
    <row r="173" spans="1:17" ht="15.6" x14ac:dyDescent="0.3">
      <c r="K173" s="211"/>
      <c r="L173" s="210"/>
      <c r="M173" s="210"/>
      <c r="N173" s="210"/>
      <c r="O173" s="210"/>
      <c r="P173" s="105"/>
      <c r="Q173" s="105"/>
    </row>
    <row r="174" spans="1:17" ht="15.6" x14ac:dyDescent="0.3">
      <c r="K174" s="131"/>
      <c r="L174" s="210"/>
      <c r="M174" s="109"/>
      <c r="N174" s="109"/>
      <c r="O174" s="109"/>
      <c r="P174" s="106"/>
      <c r="Q174" s="106"/>
    </row>
    <row r="175" spans="1:17" ht="15.6" x14ac:dyDescent="0.3">
      <c r="K175" s="211"/>
      <c r="L175" s="210"/>
      <c r="M175" s="210"/>
      <c r="N175" s="210"/>
      <c r="O175" s="210"/>
      <c r="P175" s="105"/>
      <c r="Q175" s="105"/>
    </row>
    <row r="176" spans="1:17" ht="15.6" x14ac:dyDescent="0.3">
      <c r="K176" s="131"/>
      <c r="L176" s="210"/>
      <c r="M176" s="109"/>
      <c r="N176" s="109"/>
      <c r="O176" s="109"/>
      <c r="P176" s="106"/>
      <c r="Q176" s="106"/>
    </row>
    <row r="177" spans="11:17" ht="15.6" x14ac:dyDescent="0.3">
      <c r="K177" s="211"/>
      <c r="L177" s="210"/>
      <c r="M177" s="210"/>
      <c r="N177" s="210"/>
      <c r="O177" s="210"/>
      <c r="P177" s="105"/>
      <c r="Q177" s="105"/>
    </row>
    <row r="178" spans="11:17" ht="15.6" x14ac:dyDescent="0.3">
      <c r="K178" s="211"/>
      <c r="L178" s="210"/>
      <c r="M178" s="210"/>
      <c r="N178" s="210"/>
      <c r="O178" s="210"/>
      <c r="P178" s="105"/>
      <c r="Q178" s="105"/>
    </row>
    <row r="179" spans="11:17" ht="15.6" x14ac:dyDescent="0.3">
      <c r="K179" s="211"/>
      <c r="L179" s="210"/>
      <c r="M179" s="210"/>
      <c r="N179" s="210"/>
      <c r="O179" s="210"/>
      <c r="P179" s="105"/>
      <c r="Q179" s="105"/>
    </row>
    <row r="180" spans="11:17" ht="15.6" x14ac:dyDescent="0.3">
      <c r="K180" s="211"/>
      <c r="L180" s="210"/>
      <c r="M180" s="210"/>
      <c r="N180" s="210"/>
      <c r="O180" s="210"/>
      <c r="P180" s="105"/>
      <c r="Q180" s="105"/>
    </row>
  </sheetData>
  <sortState xmlns:xlrd2="http://schemas.microsoft.com/office/spreadsheetml/2017/richdata2" ref="K88:Q113">
    <sortCondition ref="K88:K113"/>
  </sortState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E8BF-016E-4E01-8E5D-9DCAA9EDFF6A}">
  <dimension ref="B4:D12"/>
  <sheetViews>
    <sheetView workbookViewId="0">
      <selection activeCell="C15" sqref="C15"/>
    </sheetView>
  </sheetViews>
  <sheetFormatPr defaultRowHeight="14.4" x14ac:dyDescent="0.3"/>
  <cols>
    <col min="3" max="3" width="43.6640625" customWidth="1"/>
  </cols>
  <sheetData>
    <row r="4" spans="2:4" x14ac:dyDescent="0.3">
      <c r="B4">
        <v>1</v>
      </c>
      <c r="C4" t="s">
        <v>93</v>
      </c>
    </row>
    <row r="5" spans="2:4" x14ac:dyDescent="0.3">
      <c r="B5">
        <v>2</v>
      </c>
      <c r="C5" t="s">
        <v>94</v>
      </c>
    </row>
    <row r="6" spans="2:4" x14ac:dyDescent="0.3">
      <c r="B6">
        <v>3</v>
      </c>
      <c r="C6" t="s">
        <v>95</v>
      </c>
    </row>
    <row r="7" spans="2:4" x14ac:dyDescent="0.3">
      <c r="B7">
        <v>4</v>
      </c>
      <c r="C7" t="s">
        <v>96</v>
      </c>
      <c r="D7">
        <f>30000*12</f>
        <v>360000</v>
      </c>
    </row>
    <row r="8" spans="2:4" x14ac:dyDescent="0.3">
      <c r="B8">
        <v>5</v>
      </c>
      <c r="C8" t="s">
        <v>97</v>
      </c>
    </row>
    <row r="9" spans="2:4" x14ac:dyDescent="0.3">
      <c r="B9">
        <v>6</v>
      </c>
      <c r="C9" t="s">
        <v>98</v>
      </c>
    </row>
    <row r="10" spans="2:4" x14ac:dyDescent="0.3">
      <c r="B10">
        <v>7</v>
      </c>
      <c r="C10" t="s">
        <v>100</v>
      </c>
    </row>
    <row r="11" spans="2:4" x14ac:dyDescent="0.3">
      <c r="B11">
        <v>8</v>
      </c>
      <c r="C11" t="s">
        <v>401</v>
      </c>
    </row>
    <row r="12" spans="2:4" x14ac:dyDescent="0.3">
      <c r="B12">
        <v>9</v>
      </c>
      <c r="C1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JAN FEB MARC</vt:lpstr>
      <vt:lpstr>control formule</vt:lpstr>
      <vt:lpstr>IBIKENEWE MU KWIGA</vt:lpstr>
      <vt:lpstr>APRIL, MAY JUN</vt:lpstr>
      <vt:lpstr>JULY AUG SEPT </vt:lpstr>
      <vt:lpstr>OCT NOV DEC</vt:lpstr>
      <vt:lpstr>ANNUAL REPORT</vt:lpstr>
      <vt:lpstr>UNCONTROLED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MUKIZA Jean</cp:lastModifiedBy>
  <cp:lastPrinted>2026-07-18T16:29:23Z</cp:lastPrinted>
  <dcterms:created xsi:type="dcterms:W3CDTF">2025-01-23T11:50:13Z</dcterms:created>
  <dcterms:modified xsi:type="dcterms:W3CDTF">2026-07-26T18:16:53Z</dcterms:modified>
</cp:coreProperties>
</file>