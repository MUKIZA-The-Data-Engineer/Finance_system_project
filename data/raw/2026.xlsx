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m\Downloads\iConsult\ESP clients\other clients\SHIMIRWA\docs for financial reports\"/>
    </mc:Choice>
  </mc:AlternateContent>
  <xr:revisionPtr revIDLastSave="0" documentId="13_ncr:1_{0197FB1B-665E-48A7-B5D7-06EE5DA389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2" i="2" l="1"/>
  <c r="O162" i="2" s="1"/>
  <c r="P162" i="2" s="1"/>
  <c r="N161" i="2"/>
  <c r="O161" i="2" s="1"/>
  <c r="P161" i="2" s="1"/>
  <c r="P160" i="2"/>
  <c r="O160" i="2"/>
  <c r="N160" i="2"/>
  <c r="N159" i="2"/>
  <c r="O159" i="2" s="1"/>
  <c r="P159" i="2" s="1"/>
  <c r="N158" i="2"/>
  <c r="O158" i="2" s="1"/>
  <c r="P158" i="2" s="1"/>
  <c r="O157" i="2"/>
  <c r="P157" i="2" s="1"/>
  <c r="N157" i="2"/>
  <c r="P156" i="2"/>
  <c r="O156" i="2"/>
  <c r="N156" i="2"/>
  <c r="N155" i="2"/>
  <c r="O155" i="2" s="1"/>
  <c r="P155" i="2" s="1"/>
  <c r="N154" i="2"/>
  <c r="O154" i="2" s="1"/>
  <c r="P154" i="2" s="1"/>
  <c r="O153" i="2"/>
  <c r="P153" i="2" s="1"/>
  <c r="N153" i="2"/>
  <c r="N152" i="2"/>
  <c r="O152" i="2" s="1"/>
  <c r="P152" i="2" s="1"/>
  <c r="N151" i="2"/>
  <c r="O151" i="2" s="1"/>
  <c r="P151" i="2" s="1"/>
  <c r="N150" i="2"/>
  <c r="O150" i="2" s="1"/>
  <c r="P150" i="2" s="1"/>
  <c r="N149" i="2"/>
  <c r="O149" i="2" s="1"/>
  <c r="P149" i="2" s="1"/>
  <c r="N148" i="2"/>
  <c r="O148" i="2" s="1"/>
  <c r="P148" i="2" s="1"/>
  <c r="O147" i="2"/>
  <c r="P147" i="2" s="1"/>
  <c r="N147" i="2"/>
  <c r="O146" i="2"/>
  <c r="P146" i="2" s="1"/>
  <c r="N146" i="2"/>
  <c r="N145" i="2"/>
  <c r="O145" i="2" s="1"/>
  <c r="P145" i="2" s="1"/>
  <c r="N144" i="2"/>
  <c r="O144" i="2" s="1"/>
  <c r="P144" i="2" s="1"/>
  <c r="N143" i="2"/>
  <c r="O143" i="2" s="1"/>
  <c r="P143" i="2" s="1"/>
  <c r="N142" i="2"/>
  <c r="O142" i="2" s="1"/>
  <c r="P142" i="2" s="1"/>
  <c r="N141" i="2"/>
  <c r="O141" i="2" s="1"/>
  <c r="P141" i="2" s="1"/>
  <c r="P140" i="2"/>
  <c r="N140" i="2"/>
  <c r="O140" i="2" s="1"/>
  <c r="N139" i="2"/>
  <c r="O139" i="2" s="1"/>
  <c r="P139" i="2" s="1"/>
  <c r="N138" i="2"/>
  <c r="O138" i="2" s="1"/>
  <c r="P138" i="2" s="1"/>
  <c r="N137" i="2"/>
  <c r="O137" i="2" s="1"/>
  <c r="P137" i="2" s="1"/>
  <c r="O136" i="2"/>
  <c r="P136" i="2" s="1"/>
  <c r="N136" i="2"/>
  <c r="N135" i="2"/>
  <c r="O135" i="2" s="1"/>
  <c r="P135" i="2" s="1"/>
  <c r="O134" i="2"/>
  <c r="P134" i="2" s="1"/>
  <c r="N134" i="2"/>
  <c r="N133" i="2"/>
  <c r="O133" i="2" s="1"/>
  <c r="P133" i="2" s="1"/>
  <c r="N132" i="2"/>
  <c r="O132" i="2" s="1"/>
  <c r="P132" i="2" s="1"/>
  <c r="N131" i="2"/>
  <c r="O131" i="2" s="1"/>
  <c r="P131" i="2" s="1"/>
  <c r="N130" i="2"/>
  <c r="O130" i="2" s="1"/>
  <c r="P130" i="2" s="1"/>
  <c r="N129" i="2"/>
  <c r="O129" i="2" s="1"/>
  <c r="P129" i="2" s="1"/>
  <c r="N128" i="2"/>
  <c r="O128" i="2" s="1"/>
  <c r="P128" i="2" s="1"/>
  <c r="O127" i="2"/>
  <c r="P127" i="2" s="1"/>
  <c r="N127" i="2"/>
  <c r="O126" i="2"/>
  <c r="P126" i="2" s="1"/>
  <c r="N126" i="2"/>
  <c r="N125" i="2"/>
  <c r="O125" i="2" s="1"/>
  <c r="P125" i="2" s="1"/>
  <c r="N124" i="2"/>
  <c r="O124" i="2" s="1"/>
  <c r="P124" i="2" s="1"/>
  <c r="O123" i="2"/>
  <c r="P123" i="2" s="1"/>
  <c r="N123" i="2"/>
  <c r="N122" i="2"/>
  <c r="O122" i="2" s="1"/>
  <c r="P122" i="2" s="1"/>
  <c r="N121" i="2"/>
  <c r="O121" i="2" s="1"/>
  <c r="P121" i="2" s="1"/>
  <c r="N120" i="2"/>
  <c r="O120" i="2" s="1"/>
  <c r="P120" i="2" s="1"/>
  <c r="N119" i="2"/>
  <c r="O119" i="2" s="1"/>
  <c r="P119" i="2" s="1"/>
  <c r="N118" i="2"/>
  <c r="O118" i="2" s="1"/>
  <c r="P118" i="2" s="1"/>
  <c r="N117" i="2"/>
  <c r="O117" i="2" s="1"/>
  <c r="P117" i="2" s="1"/>
  <c r="O116" i="2"/>
  <c r="P116" i="2" s="1"/>
  <c r="N116" i="2"/>
  <c r="N115" i="2"/>
  <c r="O115" i="2" s="1"/>
  <c r="P115" i="2" s="1"/>
  <c r="N114" i="2"/>
  <c r="O114" i="2" s="1"/>
  <c r="P114" i="2" s="1"/>
  <c r="N113" i="2"/>
  <c r="O113" i="2" s="1"/>
  <c r="P113" i="2" s="1"/>
  <c r="N112" i="2"/>
  <c r="O112" i="2" s="1"/>
  <c r="P112" i="2" s="1"/>
  <c r="N111" i="2"/>
  <c r="O111" i="2" s="1"/>
  <c r="P111" i="2" s="1"/>
  <c r="N110" i="2"/>
  <c r="O110" i="2" s="1"/>
  <c r="P110" i="2" s="1"/>
  <c r="N109" i="2"/>
  <c r="O109" i="2" s="1"/>
  <c r="P109" i="2" s="1"/>
  <c r="N108" i="2"/>
  <c r="O108" i="2" s="1"/>
  <c r="P108" i="2" s="1"/>
  <c r="O107" i="2"/>
  <c r="P107" i="2" s="1"/>
  <c r="N107" i="2"/>
  <c r="O106" i="2"/>
  <c r="P106" i="2" s="1"/>
  <c r="N106" i="2"/>
  <c r="N105" i="2"/>
  <c r="O105" i="2" s="1"/>
  <c r="P105" i="2" s="1"/>
  <c r="N104" i="2"/>
  <c r="O104" i="2" s="1"/>
  <c r="P104" i="2" s="1"/>
  <c r="N103" i="2"/>
  <c r="O103" i="2" s="1"/>
  <c r="P103" i="2" s="1"/>
  <c r="N102" i="2"/>
  <c r="O102" i="2" s="1"/>
  <c r="P102" i="2" s="1"/>
  <c r="N101" i="2"/>
  <c r="O101" i="2" s="1"/>
  <c r="P101" i="2" s="1"/>
  <c r="P100" i="2"/>
  <c r="N100" i="2"/>
  <c r="O100" i="2" s="1"/>
  <c r="N99" i="2"/>
  <c r="O99" i="2" s="1"/>
  <c r="P99" i="2" s="1"/>
  <c r="N98" i="2"/>
  <c r="O98" i="2" s="1"/>
  <c r="P98" i="2" s="1"/>
  <c r="N97" i="2"/>
  <c r="O97" i="2" s="1"/>
  <c r="P97" i="2" s="1"/>
  <c r="O96" i="2"/>
  <c r="P96" i="2" s="1"/>
  <c r="N96" i="2"/>
  <c r="N95" i="2"/>
  <c r="O95" i="2" s="1"/>
  <c r="P95" i="2" s="1"/>
  <c r="N94" i="2"/>
  <c r="O94" i="2" s="1"/>
  <c r="P94" i="2" s="1"/>
  <c r="N93" i="2"/>
  <c r="O93" i="2" s="1"/>
  <c r="P93" i="2" s="1"/>
  <c r="N92" i="2"/>
  <c r="O92" i="2" s="1"/>
  <c r="P92" i="2" s="1"/>
  <c r="N91" i="2"/>
  <c r="O91" i="2" s="1"/>
  <c r="P91" i="2" s="1"/>
  <c r="N90" i="2"/>
  <c r="O90" i="2" s="1"/>
  <c r="P90" i="2" s="1"/>
  <c r="N89" i="2"/>
  <c r="O89" i="2" s="1"/>
  <c r="P89" i="2" s="1"/>
  <c r="N88" i="2"/>
  <c r="O88" i="2" s="1"/>
  <c r="P88" i="2" s="1"/>
  <c r="O87" i="2"/>
  <c r="P87" i="2" s="1"/>
  <c r="N87" i="2"/>
  <c r="O86" i="2"/>
  <c r="P86" i="2" s="1"/>
  <c r="N86" i="2"/>
  <c r="N85" i="2"/>
  <c r="O85" i="2" s="1"/>
  <c r="P85" i="2" s="1"/>
  <c r="N84" i="2"/>
  <c r="O84" i="2" s="1"/>
  <c r="P84" i="2" s="1"/>
  <c r="N83" i="2"/>
  <c r="O83" i="2" s="1"/>
  <c r="P83" i="2" s="1"/>
  <c r="N82" i="2"/>
  <c r="O82" i="2" s="1"/>
  <c r="P82" i="2" s="1"/>
  <c r="N81" i="2"/>
  <c r="O81" i="2" s="1"/>
  <c r="P81" i="2" s="1"/>
  <c r="N80" i="2"/>
  <c r="O80" i="2" s="1"/>
  <c r="P80" i="2" s="1"/>
  <c r="N79" i="2"/>
  <c r="O79" i="2" s="1"/>
  <c r="P79" i="2" s="1"/>
  <c r="N78" i="2"/>
  <c r="O78" i="2" s="1"/>
  <c r="P78" i="2" s="1"/>
  <c r="O77" i="2"/>
  <c r="P77" i="2" s="1"/>
  <c r="N77" i="2"/>
  <c r="O76" i="2"/>
  <c r="P76" i="2" s="1"/>
  <c r="N76" i="2"/>
  <c r="N75" i="2"/>
  <c r="O75" i="2" s="1"/>
  <c r="P75" i="2" s="1"/>
  <c r="N74" i="2"/>
  <c r="O74" i="2" s="1"/>
  <c r="P74" i="2" s="1"/>
  <c r="N73" i="2"/>
  <c r="O73" i="2" s="1"/>
  <c r="P73" i="2" s="1"/>
  <c r="N72" i="2"/>
  <c r="O72" i="2" s="1"/>
  <c r="P72" i="2" s="1"/>
  <c r="N71" i="2"/>
  <c r="O71" i="2" s="1"/>
  <c r="P71" i="2" s="1"/>
  <c r="N70" i="2"/>
  <c r="O70" i="2" s="1"/>
  <c r="P70" i="2" s="1"/>
  <c r="N69" i="2"/>
  <c r="O69" i="2" s="1"/>
  <c r="P69" i="2" s="1"/>
  <c r="N68" i="2"/>
  <c r="O68" i="2" s="1"/>
  <c r="P68" i="2" s="1"/>
  <c r="O67" i="2"/>
  <c r="P67" i="2" s="1"/>
  <c r="N67" i="2"/>
  <c r="O66" i="2"/>
  <c r="P66" i="2" s="1"/>
  <c r="N66" i="2"/>
  <c r="N65" i="2"/>
  <c r="O65" i="2" s="1"/>
  <c r="P65" i="2" s="1"/>
  <c r="N64" i="2"/>
  <c r="O64" i="2" s="1"/>
  <c r="P64" i="2" s="1"/>
  <c r="N63" i="2"/>
  <c r="O63" i="2" s="1"/>
  <c r="P63" i="2" s="1"/>
  <c r="N62" i="2"/>
  <c r="O62" i="2" s="1"/>
  <c r="P62" i="2" s="1"/>
  <c r="N61" i="2"/>
  <c r="O61" i="2" s="1"/>
  <c r="P61" i="2" s="1"/>
  <c r="N60" i="2"/>
  <c r="O60" i="2" s="1"/>
  <c r="P60" i="2" s="1"/>
  <c r="N59" i="2"/>
  <c r="O59" i="2" s="1"/>
  <c r="P59" i="2" s="1"/>
  <c r="N58" i="2"/>
  <c r="O58" i="2" s="1"/>
  <c r="P58" i="2" s="1"/>
  <c r="N57" i="2"/>
  <c r="O57" i="2" s="1"/>
  <c r="P57" i="2" s="1"/>
  <c r="O56" i="2"/>
  <c r="P56" i="2" s="1"/>
  <c r="N56" i="2"/>
  <c r="N55" i="2"/>
  <c r="O55" i="2" s="1"/>
  <c r="P55" i="2" s="1"/>
  <c r="N54" i="2"/>
  <c r="O54" i="2" s="1"/>
  <c r="P54" i="2" s="1"/>
  <c r="N53" i="2"/>
  <c r="O53" i="2" s="1"/>
  <c r="P53" i="2" s="1"/>
  <c r="N52" i="2"/>
  <c r="O52" i="2" s="1"/>
  <c r="P52" i="2" s="1"/>
  <c r="N51" i="2"/>
  <c r="O51" i="2" s="1"/>
  <c r="P51" i="2" s="1"/>
  <c r="N50" i="2"/>
  <c r="O50" i="2" s="1"/>
  <c r="P50" i="2" s="1"/>
  <c r="P49" i="2"/>
  <c r="N49" i="2"/>
  <c r="O49" i="2" s="1"/>
  <c r="N48" i="2"/>
  <c r="O48" i="2" s="1"/>
  <c r="P48" i="2" s="1"/>
  <c r="O47" i="2"/>
  <c r="P47" i="2" s="1"/>
  <c r="N47" i="2"/>
  <c r="O46" i="2"/>
  <c r="P46" i="2" s="1"/>
  <c r="N46" i="2"/>
  <c r="N45" i="2"/>
  <c r="O45" i="2" s="1"/>
  <c r="P45" i="2" s="1"/>
  <c r="O44" i="2"/>
  <c r="P44" i="2" s="1"/>
  <c r="N44" i="2"/>
  <c r="N43" i="2"/>
  <c r="O43" i="2" s="1"/>
  <c r="P43" i="2" s="1"/>
  <c r="N42" i="2"/>
  <c r="O42" i="2" s="1"/>
  <c r="P42" i="2" s="1"/>
  <c r="N41" i="2"/>
  <c r="O41" i="2" s="1"/>
  <c r="P41" i="2" s="1"/>
  <c r="N40" i="2"/>
  <c r="O40" i="2" s="1"/>
  <c r="P40" i="2" s="1"/>
  <c r="N39" i="2"/>
  <c r="O39" i="2" s="1"/>
  <c r="P39" i="2" s="1"/>
  <c r="N38" i="2"/>
  <c r="O38" i="2" s="1"/>
  <c r="P38" i="2" s="1"/>
  <c r="N37" i="2"/>
  <c r="O37" i="2" s="1"/>
  <c r="P37" i="2" s="1"/>
  <c r="O36" i="2"/>
  <c r="P36" i="2" s="1"/>
  <c r="N36" i="2"/>
  <c r="N35" i="2"/>
  <c r="O35" i="2" s="1"/>
  <c r="P35" i="2" s="1"/>
  <c r="N34" i="2"/>
  <c r="O34" i="2" s="1"/>
  <c r="P34" i="2" s="1"/>
  <c r="N33" i="2"/>
  <c r="O33" i="2" s="1"/>
  <c r="P33" i="2" s="1"/>
  <c r="N32" i="2"/>
  <c r="O32" i="2" s="1"/>
  <c r="P32" i="2" s="1"/>
  <c r="N31" i="2"/>
  <c r="O31" i="2" s="1"/>
  <c r="P31" i="2" s="1"/>
  <c r="N30" i="2"/>
  <c r="O30" i="2" s="1"/>
  <c r="P30" i="2" s="1"/>
  <c r="N29" i="2"/>
  <c r="O29" i="2" s="1"/>
  <c r="P29" i="2" s="1"/>
  <c r="N28" i="2"/>
  <c r="O28" i="2" s="1"/>
  <c r="P28" i="2" s="1"/>
  <c r="O27" i="2"/>
  <c r="P27" i="2" s="1"/>
  <c r="N27" i="2"/>
  <c r="O26" i="2"/>
  <c r="P26" i="2" s="1"/>
  <c r="N26" i="2"/>
  <c r="N25" i="2"/>
  <c r="O25" i="2" s="1"/>
  <c r="P25" i="2" s="1"/>
  <c r="N24" i="2"/>
  <c r="O24" i="2" s="1"/>
  <c r="P24" i="2" s="1"/>
  <c r="N23" i="2"/>
  <c r="O23" i="2" s="1"/>
  <c r="P23" i="2" s="1"/>
  <c r="N22" i="2"/>
  <c r="O22" i="2" s="1"/>
  <c r="P22" i="2" s="1"/>
  <c r="N21" i="2"/>
  <c r="O21" i="2" s="1"/>
  <c r="P21" i="2" s="1"/>
  <c r="P20" i="2"/>
  <c r="N20" i="2"/>
  <c r="O20" i="2" s="1"/>
  <c r="N19" i="2"/>
  <c r="O19" i="2" s="1"/>
  <c r="P19" i="2" s="1"/>
  <c r="N18" i="2"/>
  <c r="O18" i="2" s="1"/>
  <c r="P18" i="2" s="1"/>
  <c r="N17" i="2"/>
  <c r="O17" i="2" s="1"/>
  <c r="P17" i="2" s="1"/>
  <c r="O16" i="2"/>
  <c r="P16" i="2" s="1"/>
  <c r="N16" i="2"/>
  <c r="N15" i="2"/>
  <c r="O15" i="2" s="1"/>
  <c r="P15" i="2" s="1"/>
  <c r="N14" i="2"/>
  <c r="O14" i="2" s="1"/>
  <c r="P14" i="2" s="1"/>
  <c r="N13" i="2"/>
  <c r="O13" i="2" s="1"/>
  <c r="P13" i="2" s="1"/>
  <c r="N12" i="2"/>
  <c r="O12" i="2" s="1"/>
  <c r="P12" i="2" s="1"/>
  <c r="N11" i="2"/>
  <c r="O11" i="2" s="1"/>
  <c r="P11" i="2" s="1"/>
  <c r="N10" i="2"/>
  <c r="O10" i="2" s="1"/>
  <c r="P10" i="2" s="1"/>
  <c r="N9" i="2"/>
  <c r="O9" i="2" s="1"/>
  <c r="P9" i="2" s="1"/>
  <c r="N8" i="2"/>
  <c r="O8" i="2" s="1"/>
  <c r="P8" i="2" s="1"/>
  <c r="O7" i="2"/>
  <c r="P7" i="2" s="1"/>
  <c r="N7" i="2"/>
  <c r="O6" i="2"/>
  <c r="P6" i="2" s="1"/>
  <c r="N6" i="2"/>
  <c r="N5" i="2"/>
  <c r="O5" i="2" s="1"/>
  <c r="P5" i="2" s="1"/>
  <c r="O4" i="2"/>
  <c r="P4" i="2" s="1"/>
  <c r="N4" i="2"/>
  <c r="N3" i="2"/>
  <c r="O3" i="2" s="1"/>
  <c r="P3" i="2" s="1"/>
  <c r="P2" i="2"/>
  <c r="O2" i="2"/>
  <c r="N2" i="2"/>
</calcChain>
</file>

<file path=xl/sharedStrings.xml><?xml version="1.0" encoding="utf-8"?>
<sst xmlns="http://schemas.openxmlformats.org/spreadsheetml/2006/main" count="1372" uniqueCount="222">
  <si>
    <t>DATE</t>
  </si>
  <si>
    <t>ITEMS</t>
  </si>
  <si>
    <t>STOCK 
 INITIALE</t>
  </si>
  <si>
    <t>ENTREES</t>
  </si>
  <si>
    <t>SORTIES
 TERRAIN</t>
  </si>
  <si>
    <t>SORTIE 
BASE</t>
  </si>
  <si>
    <t>SOLDE</t>
  </si>
  <si>
    <t>RETURN</t>
  </si>
  <si>
    <t>BINO SORTIES</t>
  </si>
  <si>
    <t>32Ct</t>
  </si>
  <si>
    <t>215Ct</t>
  </si>
  <si>
    <t>210Ct</t>
  </si>
  <si>
    <t>16Ct</t>
  </si>
  <si>
    <t>21Ct</t>
  </si>
  <si>
    <t>IMVANGE BINO SORTIES IN 5kg</t>
  </si>
  <si>
    <t>2pq</t>
  </si>
  <si>
    <t>1pq</t>
  </si>
  <si>
    <t>100Ct</t>
  </si>
  <si>
    <t>43Ct</t>
  </si>
  <si>
    <t>78Ct</t>
  </si>
  <si>
    <t>11Ct</t>
  </si>
  <si>
    <t>20Ct</t>
  </si>
  <si>
    <t>47Ct</t>
  </si>
  <si>
    <t>5pq</t>
  </si>
  <si>
    <t>4pq</t>
  </si>
  <si>
    <t>222Ct</t>
  </si>
  <si>
    <t>50Ct</t>
  </si>
  <si>
    <t>219Ct</t>
  </si>
  <si>
    <t>165Ct</t>
  </si>
  <si>
    <t>54Ct</t>
  </si>
  <si>
    <t>84Ct</t>
  </si>
  <si>
    <t>60Ct</t>
  </si>
  <si>
    <t>IMVANGE BINO SORTIES IN SACK</t>
  </si>
  <si>
    <t>75kg</t>
  </si>
  <si>
    <t>14Ct</t>
  </si>
  <si>
    <t>64Ct</t>
  </si>
  <si>
    <t>112Ct</t>
  </si>
  <si>
    <t>58Ct</t>
  </si>
  <si>
    <t>15Ct</t>
  </si>
  <si>
    <t>103Ct</t>
  </si>
  <si>
    <t>3pq</t>
  </si>
  <si>
    <t>52Ct</t>
  </si>
  <si>
    <t>51Ct</t>
  </si>
  <si>
    <t>753kg</t>
  </si>
  <si>
    <t>40Ct</t>
  </si>
  <si>
    <t>UBURO SORTIES</t>
  </si>
  <si>
    <t>1Ct</t>
  </si>
  <si>
    <t>110Ct</t>
  </si>
  <si>
    <t>90Ct</t>
  </si>
  <si>
    <t>22Ct</t>
  </si>
  <si>
    <t>38Ct</t>
  </si>
  <si>
    <t>62Ct</t>
  </si>
  <si>
    <t>105kg</t>
  </si>
  <si>
    <t>25Ct</t>
  </si>
  <si>
    <t>37Ct</t>
  </si>
  <si>
    <t>30Ct</t>
  </si>
  <si>
    <t>91Ct</t>
  </si>
  <si>
    <t>15Ct+1/2Ct</t>
  </si>
  <si>
    <t>75Ct+1/2Ct</t>
  </si>
  <si>
    <t>IMVANGE BINO  SORTIES IN 5kg</t>
  </si>
  <si>
    <t>200Ct</t>
  </si>
  <si>
    <t>105Ct</t>
  </si>
  <si>
    <t>170Ct+1/2Ct</t>
  </si>
  <si>
    <t>10Ct</t>
  </si>
  <si>
    <t>160Ct+1/2Ct</t>
  </si>
  <si>
    <t>135Ct+1/2Ct</t>
  </si>
  <si>
    <t>60kg</t>
  </si>
  <si>
    <t>40Ct+1/2Ct</t>
  </si>
  <si>
    <t>140Ct</t>
  </si>
  <si>
    <t>36Ct</t>
  </si>
  <si>
    <t>125Ct</t>
  </si>
  <si>
    <t>61Ct</t>
  </si>
  <si>
    <t>55Ct</t>
  </si>
  <si>
    <t>19Ct</t>
  </si>
  <si>
    <t>150Ct</t>
  </si>
  <si>
    <t>160Ct</t>
  </si>
  <si>
    <t>IMVANGE BINO SORTIES IN 5Kg</t>
  </si>
  <si>
    <t>41Ct</t>
  </si>
  <si>
    <t>59Ct</t>
  </si>
  <si>
    <t>34Ct</t>
  </si>
  <si>
    <t>195kg</t>
  </si>
  <si>
    <t>135Ct</t>
  </si>
  <si>
    <t>154Ct</t>
  </si>
  <si>
    <t>80Ct</t>
  </si>
  <si>
    <t>65Ct</t>
  </si>
  <si>
    <t>10ct</t>
  </si>
  <si>
    <t>18Ct</t>
  </si>
  <si>
    <t>145Ct</t>
  </si>
  <si>
    <t>IMVANGE BIN0 IN 5 kg</t>
  </si>
  <si>
    <t>180Ct</t>
  </si>
  <si>
    <t>69Ct</t>
  </si>
  <si>
    <t>106Ct</t>
  </si>
  <si>
    <t>IMVANGE BINO IN 5kg</t>
  </si>
  <si>
    <t>26Ct</t>
  </si>
  <si>
    <t>120Ct</t>
  </si>
  <si>
    <t>81Ct</t>
  </si>
  <si>
    <t>5Ct</t>
  </si>
  <si>
    <t>86Ct</t>
  </si>
  <si>
    <t>70Ct</t>
  </si>
  <si>
    <t>185Ct</t>
  </si>
  <si>
    <t>75Ct</t>
  </si>
  <si>
    <t>85Ct</t>
  </si>
  <si>
    <t>44Ct</t>
  </si>
  <si>
    <t>156Ct</t>
  </si>
  <si>
    <t>120kg</t>
  </si>
  <si>
    <t xml:space="preserve">             156Ct</t>
  </si>
  <si>
    <t>250Ct</t>
  </si>
  <si>
    <t>180Ct+1/2Ct</t>
  </si>
  <si>
    <t>10Ct+1/2Ct</t>
  </si>
  <si>
    <t>45Ct</t>
  </si>
  <si>
    <t>171Ct</t>
  </si>
  <si>
    <t>109Ct</t>
  </si>
  <si>
    <t>2Ct</t>
  </si>
  <si>
    <t>250Ct+1/2Ct</t>
  </si>
  <si>
    <t>16Ct+1/2Ct</t>
  </si>
  <si>
    <t>236Ct</t>
  </si>
  <si>
    <t>10pq</t>
  </si>
  <si>
    <t>8pq</t>
  </si>
  <si>
    <t>141Ct</t>
  </si>
  <si>
    <t>6Ct</t>
  </si>
  <si>
    <t>89Ct</t>
  </si>
  <si>
    <t xml:space="preserve">   </t>
  </si>
  <si>
    <t>205Ct</t>
  </si>
  <si>
    <t xml:space="preserve"> </t>
  </si>
  <si>
    <t>204Ct</t>
  </si>
  <si>
    <t>95Ct</t>
  </si>
  <si>
    <t>7pq</t>
  </si>
  <si>
    <t>IMVANGE BINO IN SACK</t>
  </si>
  <si>
    <t>150ct</t>
  </si>
  <si>
    <t>113Ct</t>
  </si>
  <si>
    <t>73Ct</t>
  </si>
  <si>
    <t>6pq</t>
  </si>
  <si>
    <t>170Ct</t>
  </si>
  <si>
    <t>500kg</t>
  </si>
  <si>
    <t>107Ct</t>
  </si>
  <si>
    <t>163Ct</t>
  </si>
  <si>
    <t>130Ct</t>
  </si>
  <si>
    <t>82Ct</t>
  </si>
  <si>
    <t>3Ct</t>
  </si>
  <si>
    <t>181Ct</t>
  </si>
  <si>
    <t>IMVANGE BINI SORTIES IN 5kg</t>
  </si>
  <si>
    <t>175Ct</t>
  </si>
  <si>
    <t>KURA SORTIES</t>
  </si>
  <si>
    <t>9Ct</t>
  </si>
  <si>
    <t>4pg</t>
  </si>
  <si>
    <t>208Ct</t>
  </si>
  <si>
    <t>201Ct</t>
  </si>
  <si>
    <t>151Ct</t>
  </si>
  <si>
    <t>101Ct</t>
  </si>
  <si>
    <t>46Ct</t>
  </si>
  <si>
    <t>196Ct</t>
  </si>
  <si>
    <t>158Ct</t>
  </si>
  <si>
    <t>88Ct</t>
  </si>
  <si>
    <t>83Ct</t>
  </si>
  <si>
    <t>102Ct</t>
  </si>
  <si>
    <t>198Ct</t>
  </si>
  <si>
    <t>70kg</t>
  </si>
  <si>
    <t>161Ct</t>
  </si>
  <si>
    <t>49Ct</t>
  </si>
  <si>
    <t>7CT</t>
  </si>
  <si>
    <t>132Ct</t>
  </si>
  <si>
    <t>142Ct</t>
  </si>
  <si>
    <t>IMVANGE BINO SORTIES IN Sack</t>
  </si>
  <si>
    <t>305kg</t>
  </si>
  <si>
    <t>177Ct</t>
  </si>
  <si>
    <t>35Ct</t>
  </si>
  <si>
    <t>115Ct</t>
  </si>
  <si>
    <t>27Ct</t>
  </si>
  <si>
    <t>143Ct</t>
  </si>
  <si>
    <t>56Ct</t>
  </si>
  <si>
    <t>114Ct</t>
  </si>
  <si>
    <t>350kg</t>
  </si>
  <si>
    <t>53Ct</t>
  </si>
  <si>
    <t>159Ct</t>
  </si>
  <si>
    <t>244Ct</t>
  </si>
  <si>
    <t>IMVANGE BINO IN 5 kg</t>
  </si>
  <si>
    <t>174Ct</t>
  </si>
  <si>
    <t>97Ct</t>
  </si>
  <si>
    <t>7Ct</t>
  </si>
  <si>
    <t>195Ct</t>
  </si>
  <si>
    <t>4Ct</t>
  </si>
  <si>
    <t>184Ct</t>
  </si>
  <si>
    <t>74Ct</t>
  </si>
  <si>
    <t>33Ct</t>
  </si>
  <si>
    <t>123Ct</t>
  </si>
  <si>
    <t>39Ct</t>
  </si>
  <si>
    <t>11pq</t>
  </si>
  <si>
    <t>15Pq</t>
  </si>
  <si>
    <t>40kg</t>
  </si>
  <si>
    <t>87Ct</t>
  </si>
  <si>
    <t>IMVANGE BINO IN sack</t>
  </si>
  <si>
    <t>212kg</t>
  </si>
  <si>
    <t>146Ct</t>
  </si>
  <si>
    <t>MONTH</t>
  </si>
  <si>
    <t>ITEM</t>
  </si>
  <si>
    <t>PACKAGING</t>
  </si>
  <si>
    <t>UNIT</t>
  </si>
  <si>
    <t>STOCK INITIALE</t>
  </si>
  <si>
    <t>SORTIES TERRAIN</t>
  </si>
  <si>
    <t>SORTIE BASE</t>
  </si>
  <si>
    <t>SOLDE (RECORDED)</t>
  </si>
  <si>
    <t>UNIT NOTE</t>
  </si>
  <si>
    <t>SRC ROW</t>
  </si>
  <si>
    <t>SOLDE (CALC)</t>
  </si>
  <si>
    <t>VARIANCE</t>
  </si>
  <si>
    <t>January</t>
  </si>
  <si>
    <t>BINO</t>
  </si>
  <si>
    <t>CRATE</t>
  </si>
  <si>
    <t>Ct</t>
  </si>
  <si>
    <t>IMVANGE BINO</t>
  </si>
  <si>
    <t>5KG BAG</t>
  </si>
  <si>
    <t>pq</t>
  </si>
  <si>
    <t>SACK</t>
  </si>
  <si>
    <t>kg</t>
  </si>
  <si>
    <t>UBURO</t>
  </si>
  <si>
    <t>February</t>
  </si>
  <si>
    <t>March</t>
  </si>
  <si>
    <t>April</t>
  </si>
  <si>
    <t>KURA</t>
  </si>
  <si>
    <t>May</t>
  </si>
  <si>
    <t>June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</si>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</sst>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(#,##0.0\);\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/>
    <xf numFmtId="0" fontId="0" fillId="0" borderId="4" xfId="0" applyBorder="1"/>
    <xf numFmtId="0" fontId="0" fillId="3" borderId="1" xfId="0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0" fillId="3" borderId="1" xfId="0" applyNumberFormat="1" applyFill="1" applyBorder="1"/>
    <xf numFmtId="14" fontId="0" fillId="0" borderId="0" xfId="0" applyNumberFormat="1"/>
    <xf numFmtId="164" fontId="0" fillId="0" borderId="0" xfId="0" applyNumberFormat="1"/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numFmt numFmtId="164" formatCode="#,##0.0;\(#,##0.0\);\-"/>
    </dxf>
    <dxf>
      <numFmt numFmtId="164" formatCode="#,##0.0;\(#,##0.0\);\-"/>
    </dxf>
    <dxf>
      <numFmt numFmtId="164" formatCode="#,##0.0;\(#,##0.0\);\-"/>
    </dxf>
    <dxf>
      <numFmt numFmtId="164" formatCode="#,##0.0;\(#,##0.0\);\-"/>
    </dxf>
    <dxf>
      <numFmt numFmtId="164" formatCode="#,##0.0;\(#,##0.0\);\-"/>
    </dxf>
    <dxf>
      <numFmt numFmtId="164" formatCode="#,##0.0;\(#,##0.0\);\-"/>
    </dxf>
    <dxf>
      <numFmt numFmtId="164" formatCode="#,##0.0;\(#,##0.0\);\-"/>
    </dxf>
    <dxf>
      <numFmt numFmtId="164" formatCode="#,##0.0;\(#,##0.0\);\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98A48-6621-4D78-8A6D-7A28AFA213AB}" name="StockLedger" displayName="StockLedger" ref="A1:P162" totalsRowShown="0" headerRowDxfId="0">
  <autoFilter ref="A1:P162" xr:uid="{34A98A48-6621-4D78-8A6D-7A28AFA213AB}"/>
  <tableColumns count="16">
    <tableColumn id="1" xr3:uid="{F5DB63E3-70E3-4642-A52A-367C90917BDB}" name="DATE" dataDxfId="9"/>
    <tableColumn id="2" xr3:uid="{75FA802A-7536-4237-8B16-50D006C4F100}" name="MONTH"/>
    <tableColumn id="3" xr3:uid="{24CD9034-017F-4479-B76C-BD973B7B8B65}" name="ITEM"/>
    <tableColumn id="4" xr3:uid="{1A198377-66DC-4D4E-89EF-31ECD2C0809D}" name="PACKAGING"/>
    <tableColumn id="5" xr3:uid="{5090F6D7-B86F-46BA-B430-985DE3D14AF3}" name="UNIT"/>
    <tableColumn id="6" xr3:uid="{7FDAE0D0-EEBD-478A-A4D0-FA662A0B746C}" name="STOCK INITIALE" dataDxfId="8"/>
    <tableColumn id="7" xr3:uid="{036C073B-C3B8-43A8-BEF7-80A36E5B247A}" name="ENTREES" dataDxfId="7"/>
    <tableColumn id="8" xr3:uid="{1C783135-02C5-4317-B988-291A88F2BFC0}" name="SORTIES TERRAIN" dataDxfId="6"/>
    <tableColumn id="9" xr3:uid="{CC17DD33-868F-4F55-B149-53429A0E49EF}" name="SORTIE BASE" dataDxfId="5"/>
    <tableColumn id="10" xr3:uid="{7FC1711A-E2ED-4231-BDE1-F8B86E8313DC}" name="RETURN" dataDxfId="4"/>
    <tableColumn id="11" xr3:uid="{B5CE9369-0217-4A98-9F29-A17620F596ED}" name="SOLDE (RECORDED)" dataDxfId="3"/>
    <tableColumn id="12" xr3:uid="{AD3D3B6D-725C-4AF5-A77B-50C6C6E7F995}" name="UNIT NOTE"/>
    <tableColumn id="13" xr3:uid="{D6ABA632-976C-44BA-93F6-31C99BF68BFF}" name="SRC ROW"/>
    <tableColumn id="14" xr3:uid="{86A6BEC3-AAA5-4247-9F2F-1BD5B49EB284}" name="SOLDE (CALC)" dataDxfId="2">
      <calculatedColumnFormula>SUM(F2,G2,J2)-SUM(H2,I2)</calculatedColumnFormula>
    </tableColumn>
    <tableColumn id="15" xr3:uid="{07321D9B-D51D-48FD-AD3E-68D089547B23}" name="VARIANCE" dataDxfId="1">
      <calculatedColumnFormula>IF(K2="","",K2-N2)</calculatedColumnFormula>
    </tableColumn>
    <tableColumn id="16" xr3:uid="{3633D0A2-9CE5-4C65-9A8C-4EDA35901FB6}" name="CHECK">
      <calculatedColumnFormula>IF(O2="","",IF(ABS(O2)&lt;0.001,"OK","CHECK"))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E325B8-12BC-49F0-9CB3-2EE1E7E1B11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4104cc3-0ca9-486d-b2b9-dfea0b7326e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topLeftCell="A15" workbookViewId="0">
      <selection activeCell="J39" sqref="J39"/>
    </sheetView>
  </sheetViews>
  <sheetFormatPr defaultRowHeight="14.4" x14ac:dyDescent="0.3"/>
  <cols>
    <col min="1" max="1" width="11.33203125" customWidth="1"/>
    <col min="2" max="2" width="30.44140625" customWidth="1"/>
    <col min="7" max="7" width="11.33203125" customWidth="1"/>
  </cols>
  <sheetData>
    <row r="1" spans="1:8" ht="31.2" x14ac:dyDescent="0.6">
      <c r="A1" s="6"/>
      <c r="B1" s="6">
        <v>2026</v>
      </c>
      <c r="C1" s="11"/>
      <c r="D1" s="12"/>
      <c r="E1" s="12"/>
      <c r="F1" s="12"/>
      <c r="G1" s="12"/>
      <c r="H1" s="13"/>
    </row>
    <row r="2" spans="1:8" ht="28.8" x14ac:dyDescent="0.3">
      <c r="A2" s="3" t="s">
        <v>0</v>
      </c>
      <c r="B2" s="3" t="s">
        <v>1</v>
      </c>
      <c r="C2" s="4" t="s">
        <v>2</v>
      </c>
      <c r="D2" s="3" t="s">
        <v>3</v>
      </c>
      <c r="E2" s="4" t="s">
        <v>4</v>
      </c>
      <c r="F2" s="4" t="s">
        <v>5</v>
      </c>
      <c r="G2" s="3" t="s">
        <v>6</v>
      </c>
      <c r="H2" s="5" t="s">
        <v>7</v>
      </c>
    </row>
    <row r="3" spans="1:8" x14ac:dyDescent="0.3">
      <c r="A3" s="1">
        <v>46024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/>
    </row>
    <row r="4" spans="1:8" x14ac:dyDescent="0.3">
      <c r="A4" s="1">
        <v>46024</v>
      </c>
      <c r="B4" s="2" t="s">
        <v>14</v>
      </c>
      <c r="C4" s="2" t="s">
        <v>15</v>
      </c>
      <c r="D4" s="2">
        <v>0</v>
      </c>
      <c r="E4" s="2"/>
      <c r="F4" s="2" t="s">
        <v>16</v>
      </c>
      <c r="G4" s="2" t="s">
        <v>16</v>
      </c>
      <c r="H4" s="2"/>
    </row>
    <row r="5" spans="1:8" x14ac:dyDescent="0.3">
      <c r="A5" s="1">
        <v>46025</v>
      </c>
      <c r="B5" s="2" t="s">
        <v>8</v>
      </c>
      <c r="C5" s="2" t="s">
        <v>13</v>
      </c>
      <c r="D5" s="2" t="s">
        <v>17</v>
      </c>
      <c r="E5" s="2" t="s">
        <v>18</v>
      </c>
      <c r="F5" s="2"/>
      <c r="G5" s="2" t="s">
        <v>19</v>
      </c>
      <c r="H5" s="2"/>
    </row>
    <row r="6" spans="1:8" x14ac:dyDescent="0.3">
      <c r="A6" s="1">
        <v>46027</v>
      </c>
      <c r="B6" s="2" t="s">
        <v>8</v>
      </c>
      <c r="C6" s="2" t="s">
        <v>19</v>
      </c>
      <c r="D6" s="2">
        <v>0</v>
      </c>
      <c r="E6" s="2" t="s">
        <v>20</v>
      </c>
      <c r="F6" s="2" t="s">
        <v>21</v>
      </c>
      <c r="G6" s="2" t="s">
        <v>22</v>
      </c>
      <c r="H6" s="2"/>
    </row>
    <row r="7" spans="1:8" x14ac:dyDescent="0.3">
      <c r="A7" s="1">
        <v>46027</v>
      </c>
      <c r="B7" s="2" t="s">
        <v>14</v>
      </c>
      <c r="C7" s="2" t="s">
        <v>16</v>
      </c>
      <c r="D7" s="2" t="s">
        <v>23</v>
      </c>
      <c r="E7" s="2"/>
      <c r="F7" s="2" t="s">
        <v>15</v>
      </c>
      <c r="G7" s="2" t="s">
        <v>24</v>
      </c>
      <c r="H7" s="2"/>
    </row>
    <row r="8" spans="1:8" x14ac:dyDescent="0.3">
      <c r="A8" s="1">
        <v>46028</v>
      </c>
      <c r="B8" s="2" t="s">
        <v>8</v>
      </c>
      <c r="C8" s="2" t="s">
        <v>22</v>
      </c>
      <c r="D8" s="2" t="s">
        <v>25</v>
      </c>
      <c r="E8" s="2" t="s">
        <v>26</v>
      </c>
      <c r="F8" s="2">
        <v>0</v>
      </c>
      <c r="G8" s="2" t="s">
        <v>27</v>
      </c>
      <c r="H8" s="2"/>
    </row>
    <row r="9" spans="1:8" x14ac:dyDescent="0.3">
      <c r="A9" s="1">
        <v>46029</v>
      </c>
      <c r="B9" s="2" t="s">
        <v>8</v>
      </c>
      <c r="C9" s="2" t="s">
        <v>27</v>
      </c>
      <c r="D9" s="2">
        <v>0</v>
      </c>
      <c r="E9" s="2" t="s">
        <v>28</v>
      </c>
      <c r="F9" s="2">
        <v>0</v>
      </c>
      <c r="G9" s="2" t="s">
        <v>29</v>
      </c>
      <c r="H9" s="2"/>
    </row>
    <row r="10" spans="1:8" x14ac:dyDescent="0.3">
      <c r="A10" s="1">
        <v>46031</v>
      </c>
      <c r="B10" s="2" t="s">
        <v>8</v>
      </c>
      <c r="C10" s="2" t="s">
        <v>29</v>
      </c>
      <c r="D10" s="2" t="s">
        <v>30</v>
      </c>
      <c r="E10" s="2" t="s">
        <v>31</v>
      </c>
      <c r="F10" s="2">
        <v>0</v>
      </c>
      <c r="G10" s="2" t="s">
        <v>19</v>
      </c>
      <c r="H10" s="2"/>
    </row>
    <row r="11" spans="1:8" x14ac:dyDescent="0.3">
      <c r="A11" s="1">
        <v>46031</v>
      </c>
      <c r="B11" s="2" t="s">
        <v>32</v>
      </c>
      <c r="C11" s="2">
        <v>0</v>
      </c>
      <c r="D11" s="2" t="s">
        <v>33</v>
      </c>
      <c r="E11" s="2" t="s">
        <v>33</v>
      </c>
      <c r="F11" s="2">
        <v>0</v>
      </c>
      <c r="G11" s="2">
        <v>0</v>
      </c>
      <c r="H11" s="2"/>
    </row>
    <row r="12" spans="1:8" x14ac:dyDescent="0.3">
      <c r="A12" s="1">
        <v>46032</v>
      </c>
      <c r="B12" s="2" t="s">
        <v>8</v>
      </c>
      <c r="C12" s="2" t="s">
        <v>19</v>
      </c>
      <c r="D12" s="2">
        <v>0</v>
      </c>
      <c r="E12" s="2" t="s">
        <v>34</v>
      </c>
      <c r="F12" s="2">
        <v>0</v>
      </c>
      <c r="G12" s="2" t="s">
        <v>35</v>
      </c>
      <c r="H12" s="2"/>
    </row>
    <row r="13" spans="1:8" x14ac:dyDescent="0.3">
      <c r="A13" s="1">
        <v>46034</v>
      </c>
      <c r="B13" s="2" t="s">
        <v>8</v>
      </c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/>
    </row>
    <row r="14" spans="1:8" x14ac:dyDescent="0.3">
      <c r="A14" s="1">
        <v>46034</v>
      </c>
      <c r="B14" s="2" t="s">
        <v>14</v>
      </c>
      <c r="C14" s="2" t="s">
        <v>24</v>
      </c>
      <c r="D14" s="2">
        <v>0</v>
      </c>
      <c r="E14" s="2"/>
      <c r="F14" s="2" t="s">
        <v>16</v>
      </c>
      <c r="G14" s="2" t="s">
        <v>40</v>
      </c>
      <c r="H14" s="2"/>
    </row>
    <row r="15" spans="1:8" x14ac:dyDescent="0.3">
      <c r="A15" s="1">
        <v>46035</v>
      </c>
      <c r="B15" s="2" t="s">
        <v>8</v>
      </c>
      <c r="C15" s="2" t="s">
        <v>39</v>
      </c>
      <c r="D15" s="2">
        <v>0</v>
      </c>
      <c r="E15" s="2" t="s">
        <v>41</v>
      </c>
      <c r="F15" s="2">
        <v>0</v>
      </c>
      <c r="G15" s="2" t="s">
        <v>42</v>
      </c>
      <c r="H15" s="2"/>
    </row>
    <row r="16" spans="1:8" x14ac:dyDescent="0.3">
      <c r="A16" s="1">
        <v>46035</v>
      </c>
      <c r="B16" s="2" t="s">
        <v>32</v>
      </c>
      <c r="C16" s="2">
        <v>0</v>
      </c>
      <c r="D16" s="2" t="s">
        <v>43</v>
      </c>
      <c r="E16" s="2" t="s">
        <v>43</v>
      </c>
      <c r="F16" s="2">
        <v>0</v>
      </c>
      <c r="G16" s="2">
        <v>0</v>
      </c>
      <c r="H16" s="2"/>
    </row>
    <row r="17" spans="1:8" x14ac:dyDescent="0.3">
      <c r="A17" s="1">
        <v>46036</v>
      </c>
      <c r="B17" s="2" t="s">
        <v>8</v>
      </c>
      <c r="C17" s="2" t="s">
        <v>42</v>
      </c>
      <c r="D17" s="2">
        <v>0</v>
      </c>
      <c r="E17" s="2" t="s">
        <v>20</v>
      </c>
      <c r="F17" s="2">
        <v>0</v>
      </c>
      <c r="G17" s="2" t="s">
        <v>44</v>
      </c>
      <c r="H17" s="2"/>
    </row>
    <row r="18" spans="1:8" x14ac:dyDescent="0.3">
      <c r="A18" s="1">
        <v>46036</v>
      </c>
      <c r="B18" s="2" t="s">
        <v>45</v>
      </c>
      <c r="C18" s="2">
        <v>0</v>
      </c>
      <c r="D18" s="2" t="s">
        <v>46</v>
      </c>
      <c r="E18" s="2" t="s">
        <v>46</v>
      </c>
      <c r="F18" s="2">
        <v>0</v>
      </c>
      <c r="G18" s="2">
        <v>0</v>
      </c>
      <c r="H18" s="2"/>
    </row>
    <row r="19" spans="1:8" x14ac:dyDescent="0.3">
      <c r="A19" s="1">
        <v>46037</v>
      </c>
      <c r="B19" s="2" t="s">
        <v>8</v>
      </c>
      <c r="C19" s="2" t="s">
        <v>44</v>
      </c>
      <c r="D19" s="2" t="s">
        <v>47</v>
      </c>
      <c r="E19" s="2" t="s">
        <v>48</v>
      </c>
      <c r="F19" s="2" t="s">
        <v>49</v>
      </c>
      <c r="G19" s="2" t="s">
        <v>50</v>
      </c>
      <c r="H19" s="2"/>
    </row>
    <row r="20" spans="1:8" x14ac:dyDescent="0.3">
      <c r="A20" s="1">
        <v>46039</v>
      </c>
      <c r="B20" s="2" t="s">
        <v>8</v>
      </c>
      <c r="C20" s="2" t="s">
        <v>50</v>
      </c>
      <c r="D20" s="2" t="s">
        <v>30</v>
      </c>
      <c r="E20" s="2" t="s">
        <v>31</v>
      </c>
      <c r="F20" s="2">
        <v>0</v>
      </c>
      <c r="G20" s="2" t="s">
        <v>51</v>
      </c>
      <c r="H20" s="2"/>
    </row>
    <row r="21" spans="1:8" x14ac:dyDescent="0.3">
      <c r="A21" s="1">
        <v>46039</v>
      </c>
      <c r="B21" s="2" t="s">
        <v>32</v>
      </c>
      <c r="C21" s="2">
        <v>0</v>
      </c>
      <c r="D21" s="2" t="s">
        <v>52</v>
      </c>
      <c r="E21" s="2" t="s">
        <v>52</v>
      </c>
      <c r="F21" s="2">
        <v>0</v>
      </c>
      <c r="G21" s="2">
        <v>0</v>
      </c>
      <c r="H21" s="2"/>
    </row>
    <row r="22" spans="1:8" x14ac:dyDescent="0.3">
      <c r="A22" s="1">
        <v>46041</v>
      </c>
      <c r="B22" s="2" t="s">
        <v>8</v>
      </c>
      <c r="C22" s="2" t="s">
        <v>51</v>
      </c>
      <c r="D22" s="2">
        <v>0</v>
      </c>
      <c r="E22" s="2" t="s">
        <v>53</v>
      </c>
      <c r="F22" s="2">
        <v>0</v>
      </c>
      <c r="G22" s="2" t="s">
        <v>54</v>
      </c>
      <c r="H22" s="2"/>
    </row>
    <row r="23" spans="1:8" x14ac:dyDescent="0.3">
      <c r="A23" s="10">
        <v>46042</v>
      </c>
      <c r="B23" s="9" t="s">
        <v>8</v>
      </c>
      <c r="C23" s="9" t="s">
        <v>54</v>
      </c>
      <c r="D23" s="9" t="s">
        <v>30</v>
      </c>
      <c r="E23" s="9" t="s">
        <v>55</v>
      </c>
      <c r="F23" s="9">
        <v>0</v>
      </c>
      <c r="G23" s="9" t="s">
        <v>56</v>
      </c>
      <c r="H23" s="2"/>
    </row>
    <row r="24" spans="1:8" x14ac:dyDescent="0.3">
      <c r="A24" s="10">
        <v>46043</v>
      </c>
      <c r="B24" s="9" t="s">
        <v>8</v>
      </c>
      <c r="C24" s="9" t="s">
        <v>56</v>
      </c>
      <c r="D24" s="9">
        <v>0</v>
      </c>
      <c r="E24" s="9">
        <v>0</v>
      </c>
      <c r="F24" s="9" t="s">
        <v>57</v>
      </c>
      <c r="G24" s="9" t="s">
        <v>58</v>
      </c>
      <c r="H24" s="2"/>
    </row>
    <row r="25" spans="1:8" x14ac:dyDescent="0.3">
      <c r="A25" s="10">
        <v>46043</v>
      </c>
      <c r="B25" s="9" t="s">
        <v>59</v>
      </c>
      <c r="C25" s="9" t="s">
        <v>40</v>
      </c>
      <c r="D25" s="9" t="s">
        <v>24</v>
      </c>
      <c r="E25" s="9">
        <v>0</v>
      </c>
      <c r="F25" s="9" t="s">
        <v>24</v>
      </c>
      <c r="G25" s="9" t="s">
        <v>40</v>
      </c>
      <c r="H25" s="2"/>
    </row>
    <row r="26" spans="1:8" x14ac:dyDescent="0.3">
      <c r="A26" s="10">
        <v>46044</v>
      </c>
      <c r="B26" s="9" t="s">
        <v>8</v>
      </c>
      <c r="C26" s="9" t="s">
        <v>58</v>
      </c>
      <c r="D26" s="9" t="s">
        <v>60</v>
      </c>
      <c r="E26" s="9" t="s">
        <v>61</v>
      </c>
      <c r="F26" s="9">
        <v>0</v>
      </c>
      <c r="G26" s="9" t="s">
        <v>62</v>
      </c>
      <c r="H26" s="2"/>
    </row>
    <row r="27" spans="1:8" x14ac:dyDescent="0.3">
      <c r="A27" s="10">
        <v>46045</v>
      </c>
      <c r="B27" s="9" t="s">
        <v>8</v>
      </c>
      <c r="C27" s="9" t="s">
        <v>62</v>
      </c>
      <c r="D27" s="9">
        <v>0</v>
      </c>
      <c r="E27" s="9" t="s">
        <v>63</v>
      </c>
      <c r="F27" s="9">
        <v>0</v>
      </c>
      <c r="G27" s="9" t="s">
        <v>64</v>
      </c>
      <c r="H27" s="2"/>
    </row>
    <row r="28" spans="1:8" x14ac:dyDescent="0.3">
      <c r="A28" s="10">
        <v>46046</v>
      </c>
      <c r="B28" s="9" t="s">
        <v>8</v>
      </c>
      <c r="C28" s="9" t="s">
        <v>64</v>
      </c>
      <c r="D28" s="9"/>
      <c r="E28" s="9" t="s">
        <v>53</v>
      </c>
      <c r="F28" s="9">
        <v>0</v>
      </c>
      <c r="G28" s="9" t="s">
        <v>65</v>
      </c>
      <c r="H28" s="2"/>
    </row>
    <row r="29" spans="1:8" x14ac:dyDescent="0.3">
      <c r="A29" s="10">
        <v>46046</v>
      </c>
      <c r="B29" s="9" t="s">
        <v>32</v>
      </c>
      <c r="C29" s="9">
        <v>0</v>
      </c>
      <c r="D29" s="9" t="s">
        <v>66</v>
      </c>
      <c r="E29" s="9" t="s">
        <v>66</v>
      </c>
      <c r="F29" s="9">
        <v>0</v>
      </c>
      <c r="G29" s="9">
        <v>0</v>
      </c>
      <c r="H29" s="2"/>
    </row>
    <row r="30" spans="1:8" x14ac:dyDescent="0.3">
      <c r="A30" s="1">
        <v>46048</v>
      </c>
      <c r="B30" s="2" t="s">
        <v>8</v>
      </c>
      <c r="C30" s="2" t="s">
        <v>65</v>
      </c>
      <c r="D30" s="2" t="s">
        <v>67</v>
      </c>
      <c r="E30" s="2" t="s">
        <v>68</v>
      </c>
      <c r="F30" s="2">
        <v>0</v>
      </c>
      <c r="G30" s="2" t="s">
        <v>69</v>
      </c>
      <c r="H30" s="2"/>
    </row>
    <row r="31" spans="1:8" x14ac:dyDescent="0.3">
      <c r="A31" s="1">
        <v>46049</v>
      </c>
      <c r="B31" s="2" t="s">
        <v>8</v>
      </c>
      <c r="C31" s="2" t="s">
        <v>69</v>
      </c>
      <c r="D31" s="2" t="s">
        <v>70</v>
      </c>
      <c r="E31" s="2" t="s">
        <v>17</v>
      </c>
      <c r="F31" s="2">
        <v>0</v>
      </c>
      <c r="G31" s="2" t="s">
        <v>71</v>
      </c>
      <c r="H31" s="2"/>
    </row>
    <row r="32" spans="1:8" x14ac:dyDescent="0.3">
      <c r="A32" s="1">
        <v>46050</v>
      </c>
      <c r="B32" s="2" t="s">
        <v>59</v>
      </c>
      <c r="C32" s="2" t="s">
        <v>40</v>
      </c>
      <c r="D32" s="2">
        <v>0</v>
      </c>
      <c r="E32" s="2" t="s">
        <v>15</v>
      </c>
      <c r="F32" s="2">
        <v>0</v>
      </c>
      <c r="G32" s="2" t="s">
        <v>16</v>
      </c>
      <c r="H32" s="2"/>
    </row>
    <row r="33" spans="1:8" x14ac:dyDescent="0.3">
      <c r="A33" s="1">
        <v>46051</v>
      </c>
      <c r="B33" s="2" t="s">
        <v>8</v>
      </c>
      <c r="C33" s="2" t="s">
        <v>71</v>
      </c>
      <c r="D33" s="2" t="s">
        <v>30</v>
      </c>
      <c r="E33" s="2" t="s">
        <v>48</v>
      </c>
      <c r="F33" s="2">
        <v>0</v>
      </c>
      <c r="G33" s="2" t="s">
        <v>72</v>
      </c>
      <c r="H33" s="2"/>
    </row>
    <row r="34" spans="1:8" x14ac:dyDescent="0.3">
      <c r="A34" s="14"/>
      <c r="B34" s="8"/>
      <c r="C34" s="8"/>
      <c r="D34" s="8"/>
      <c r="E34" s="8"/>
      <c r="F34" s="8"/>
      <c r="G34" s="8"/>
      <c r="H34" s="8"/>
    </row>
    <row r="35" spans="1:8" x14ac:dyDescent="0.3">
      <c r="A35" s="1">
        <v>46055</v>
      </c>
      <c r="B35" s="2" t="s">
        <v>8</v>
      </c>
      <c r="C35" s="2" t="s">
        <v>72</v>
      </c>
      <c r="D35" s="2"/>
      <c r="E35" s="2" t="s">
        <v>73</v>
      </c>
      <c r="F35" s="2"/>
      <c r="G35" s="2" t="s">
        <v>69</v>
      </c>
      <c r="H35" s="2"/>
    </row>
    <row r="36" spans="1:8" x14ac:dyDescent="0.3">
      <c r="A36" s="1">
        <v>46056</v>
      </c>
      <c r="B36" s="2" t="s">
        <v>8</v>
      </c>
      <c r="C36" s="2" t="s">
        <v>69</v>
      </c>
      <c r="D36" s="2" t="s">
        <v>74</v>
      </c>
      <c r="E36" s="2" t="s">
        <v>75</v>
      </c>
      <c r="F36" s="2" t="s">
        <v>63</v>
      </c>
      <c r="G36" s="2" t="s">
        <v>12</v>
      </c>
      <c r="H36" s="2"/>
    </row>
    <row r="37" spans="1:8" x14ac:dyDescent="0.3">
      <c r="A37" s="1">
        <v>46056</v>
      </c>
      <c r="B37" s="2" t="s">
        <v>76</v>
      </c>
      <c r="C37" s="2" t="s">
        <v>16</v>
      </c>
      <c r="D37" s="2">
        <v>0</v>
      </c>
      <c r="E37" s="2">
        <v>0</v>
      </c>
      <c r="F37" s="2" t="s">
        <v>16</v>
      </c>
      <c r="G37" s="2">
        <v>0</v>
      </c>
      <c r="H37" s="2"/>
    </row>
    <row r="38" spans="1:8" x14ac:dyDescent="0.3">
      <c r="A38" s="1">
        <v>46057</v>
      </c>
      <c r="B38" s="2" t="s">
        <v>8</v>
      </c>
      <c r="C38" s="2" t="s">
        <v>12</v>
      </c>
      <c r="D38" s="2" t="s">
        <v>30</v>
      </c>
      <c r="E38" s="2"/>
      <c r="F38" s="2" t="s">
        <v>77</v>
      </c>
      <c r="G38" s="2" t="s">
        <v>78</v>
      </c>
      <c r="H38" s="2"/>
    </row>
    <row r="39" spans="1:8" x14ac:dyDescent="0.3">
      <c r="A39" s="1">
        <v>46057</v>
      </c>
      <c r="B39" s="2" t="s">
        <v>76</v>
      </c>
      <c r="C39" s="2">
        <v>0</v>
      </c>
      <c r="D39" s="2" t="s">
        <v>23</v>
      </c>
      <c r="E39" s="2"/>
      <c r="F39" s="2" t="s">
        <v>16</v>
      </c>
      <c r="G39" s="2" t="s">
        <v>24</v>
      </c>
      <c r="H39" s="2"/>
    </row>
    <row r="40" spans="1:8" x14ac:dyDescent="0.3">
      <c r="A40" s="1">
        <v>46058</v>
      </c>
      <c r="B40" s="2" t="s">
        <v>8</v>
      </c>
      <c r="C40" s="2" t="s">
        <v>78</v>
      </c>
      <c r="D40" s="2">
        <v>0</v>
      </c>
      <c r="E40" s="2" t="s">
        <v>53</v>
      </c>
      <c r="F40" s="2">
        <v>0</v>
      </c>
      <c r="G40" s="2" t="s">
        <v>79</v>
      </c>
      <c r="H40" s="2"/>
    </row>
    <row r="41" spans="1:8" x14ac:dyDescent="0.3">
      <c r="A41" s="1">
        <v>46058</v>
      </c>
      <c r="B41" s="2" t="s">
        <v>32</v>
      </c>
      <c r="C41" s="2">
        <v>0</v>
      </c>
      <c r="D41" s="2" t="s">
        <v>80</v>
      </c>
      <c r="E41" s="2" t="s">
        <v>80</v>
      </c>
      <c r="F41" s="2"/>
      <c r="G41" s="2">
        <v>0</v>
      </c>
      <c r="H41" s="2"/>
    </row>
    <row r="42" spans="1:8" x14ac:dyDescent="0.3">
      <c r="A42" s="1">
        <v>46059</v>
      </c>
      <c r="B42" s="2" t="s">
        <v>8</v>
      </c>
      <c r="C42" s="2" t="s">
        <v>79</v>
      </c>
      <c r="D42" s="2" t="s">
        <v>81</v>
      </c>
      <c r="E42" s="2" t="s">
        <v>81</v>
      </c>
      <c r="F42" s="2"/>
      <c r="G42" s="2" t="s">
        <v>79</v>
      </c>
      <c r="H42" s="2"/>
    </row>
    <row r="43" spans="1:8" x14ac:dyDescent="0.3">
      <c r="A43" s="1">
        <v>46062</v>
      </c>
      <c r="B43" s="2" t="s">
        <v>8</v>
      </c>
      <c r="C43" s="2" t="s">
        <v>79</v>
      </c>
      <c r="D43" s="2" t="s">
        <v>60</v>
      </c>
      <c r="E43" s="2" t="s">
        <v>82</v>
      </c>
      <c r="F43" s="2"/>
      <c r="G43" s="2" t="s">
        <v>83</v>
      </c>
      <c r="H43" s="2"/>
    </row>
    <row r="44" spans="1:8" x14ac:dyDescent="0.3">
      <c r="A44" s="1">
        <v>46063</v>
      </c>
      <c r="B44" s="2" t="s">
        <v>8</v>
      </c>
      <c r="C44" s="2" t="s">
        <v>83</v>
      </c>
      <c r="D44" s="2">
        <v>0</v>
      </c>
      <c r="E44" s="2"/>
      <c r="F44" s="2" t="s">
        <v>38</v>
      </c>
      <c r="G44" s="2" t="s">
        <v>84</v>
      </c>
      <c r="H44" s="2"/>
    </row>
    <row r="45" spans="1:8" x14ac:dyDescent="0.3">
      <c r="A45" s="1">
        <v>46064</v>
      </c>
      <c r="B45" s="2" t="s">
        <v>8</v>
      </c>
      <c r="C45" s="2" t="s">
        <v>84</v>
      </c>
      <c r="D45" s="2">
        <v>0</v>
      </c>
      <c r="E45" s="2"/>
      <c r="F45" s="2" t="s">
        <v>85</v>
      </c>
      <c r="G45" s="2" t="s">
        <v>72</v>
      </c>
      <c r="H45" s="2"/>
    </row>
    <row r="46" spans="1:8" x14ac:dyDescent="0.3">
      <c r="A46" s="1">
        <v>46065</v>
      </c>
      <c r="B46" s="2" t="s">
        <v>8</v>
      </c>
      <c r="C46" s="2" t="s">
        <v>72</v>
      </c>
      <c r="D46" s="2" t="s">
        <v>30</v>
      </c>
      <c r="E46" s="2" t="s">
        <v>17</v>
      </c>
      <c r="F46" s="2" t="s">
        <v>86</v>
      </c>
      <c r="G46" s="2" t="s">
        <v>13</v>
      </c>
      <c r="H46" s="2"/>
    </row>
    <row r="47" spans="1:8" x14ac:dyDescent="0.3">
      <c r="A47" s="10">
        <v>46066</v>
      </c>
      <c r="B47" s="9" t="s">
        <v>8</v>
      </c>
      <c r="C47" s="9" t="s">
        <v>13</v>
      </c>
      <c r="D47" s="9" t="s">
        <v>74</v>
      </c>
      <c r="E47" s="9" t="s">
        <v>87</v>
      </c>
      <c r="F47" s="9" t="s">
        <v>63</v>
      </c>
      <c r="G47" s="9" t="s">
        <v>12</v>
      </c>
      <c r="H47" s="9"/>
    </row>
    <row r="48" spans="1:8" x14ac:dyDescent="0.3">
      <c r="A48" s="10">
        <v>46066</v>
      </c>
      <c r="B48" s="9" t="s">
        <v>88</v>
      </c>
      <c r="C48" s="9" t="s">
        <v>24</v>
      </c>
      <c r="D48" s="9">
        <v>0</v>
      </c>
      <c r="E48" s="9">
        <v>0</v>
      </c>
      <c r="F48" s="9" t="s">
        <v>16</v>
      </c>
      <c r="G48" s="9" t="s">
        <v>40</v>
      </c>
      <c r="H48" s="9"/>
    </row>
    <row r="49" spans="1:8" x14ac:dyDescent="0.3">
      <c r="A49" s="10">
        <v>46069</v>
      </c>
      <c r="B49" s="9" t="s">
        <v>8</v>
      </c>
      <c r="C49" s="9" t="s">
        <v>12</v>
      </c>
      <c r="D49" s="9" t="s">
        <v>89</v>
      </c>
      <c r="E49" s="9" t="s">
        <v>90</v>
      </c>
      <c r="F49" s="9" t="s">
        <v>13</v>
      </c>
      <c r="G49" s="9" t="s">
        <v>91</v>
      </c>
      <c r="H49" s="9"/>
    </row>
    <row r="50" spans="1:8" x14ac:dyDescent="0.3">
      <c r="A50" s="10">
        <v>46069</v>
      </c>
      <c r="B50" s="9" t="s">
        <v>92</v>
      </c>
      <c r="C50" s="9" t="s">
        <v>40</v>
      </c>
      <c r="D50" s="9"/>
      <c r="E50" s="9"/>
      <c r="F50" s="9" t="s">
        <v>16</v>
      </c>
      <c r="G50" s="9" t="s">
        <v>15</v>
      </c>
      <c r="H50" s="9"/>
    </row>
    <row r="51" spans="1:8" x14ac:dyDescent="0.3">
      <c r="A51" s="10">
        <v>46070</v>
      </c>
      <c r="B51" s="9" t="s">
        <v>8</v>
      </c>
      <c r="C51" s="9" t="s">
        <v>91</v>
      </c>
      <c r="D51" s="9" t="s">
        <v>17</v>
      </c>
      <c r="E51" s="9" t="s">
        <v>89</v>
      </c>
      <c r="F51" s="9"/>
      <c r="G51" s="9" t="s">
        <v>93</v>
      </c>
      <c r="H51" s="9"/>
    </row>
    <row r="52" spans="1:8" x14ac:dyDescent="0.3">
      <c r="A52" s="10">
        <v>46071</v>
      </c>
      <c r="B52" s="9" t="s">
        <v>8</v>
      </c>
      <c r="C52" s="9" t="s">
        <v>93</v>
      </c>
      <c r="D52" s="9" t="s">
        <v>94</v>
      </c>
      <c r="E52" s="9" t="s">
        <v>84</v>
      </c>
      <c r="F52" s="9"/>
      <c r="G52" s="9" t="s">
        <v>95</v>
      </c>
      <c r="H52" s="9" t="s">
        <v>96</v>
      </c>
    </row>
    <row r="53" spans="1:8" x14ac:dyDescent="0.3">
      <c r="A53" s="10">
        <v>46072</v>
      </c>
      <c r="B53" s="9" t="s">
        <v>8</v>
      </c>
      <c r="C53" s="9" t="s">
        <v>97</v>
      </c>
      <c r="D53" s="9"/>
      <c r="E53" s="9" t="s">
        <v>13</v>
      </c>
      <c r="F53" s="9"/>
      <c r="G53" s="9" t="s">
        <v>84</v>
      </c>
      <c r="H53" s="9"/>
    </row>
    <row r="54" spans="1:8" x14ac:dyDescent="0.3">
      <c r="A54" s="10">
        <v>46073</v>
      </c>
      <c r="B54" s="9" t="s">
        <v>8</v>
      </c>
      <c r="C54" s="9" t="s">
        <v>84</v>
      </c>
      <c r="D54" s="9"/>
      <c r="E54" s="9" t="s">
        <v>63</v>
      </c>
      <c r="F54" s="9"/>
      <c r="G54" s="9" t="s">
        <v>72</v>
      </c>
      <c r="H54" s="9"/>
    </row>
    <row r="55" spans="1:8" x14ac:dyDescent="0.3">
      <c r="A55" s="1">
        <v>46074</v>
      </c>
      <c r="B55" s="9" t="s">
        <v>8</v>
      </c>
      <c r="C55" s="9" t="s">
        <v>72</v>
      </c>
      <c r="D55" s="9" t="s">
        <v>60</v>
      </c>
      <c r="E55" s="9" t="s">
        <v>98</v>
      </c>
      <c r="F55" s="9"/>
      <c r="G55" s="9" t="s">
        <v>99</v>
      </c>
      <c r="H55" s="9"/>
    </row>
    <row r="56" spans="1:8" x14ac:dyDescent="0.3">
      <c r="A56" s="1">
        <v>46076</v>
      </c>
      <c r="B56" s="9" t="s">
        <v>8</v>
      </c>
      <c r="C56" s="9" t="s">
        <v>99</v>
      </c>
      <c r="D56" s="9"/>
      <c r="E56" s="9"/>
      <c r="F56" s="9" t="s">
        <v>21</v>
      </c>
      <c r="G56" s="9" t="s">
        <v>28</v>
      </c>
      <c r="H56" s="9"/>
    </row>
    <row r="57" spans="1:8" x14ac:dyDescent="0.3">
      <c r="A57" s="1">
        <v>46077</v>
      </c>
      <c r="B57" s="9" t="s">
        <v>8</v>
      </c>
      <c r="C57" s="9" t="s">
        <v>28</v>
      </c>
      <c r="D57" s="9"/>
      <c r="E57" s="9" t="s">
        <v>48</v>
      </c>
      <c r="F57" s="9"/>
      <c r="G57" s="9" t="s">
        <v>100</v>
      </c>
      <c r="H57" s="9" t="s">
        <v>63</v>
      </c>
    </row>
    <row r="58" spans="1:8" x14ac:dyDescent="0.3">
      <c r="A58" s="1">
        <v>46078</v>
      </c>
      <c r="B58" s="2" t="s">
        <v>8</v>
      </c>
      <c r="C58" s="2" t="s">
        <v>101</v>
      </c>
      <c r="D58" s="2"/>
      <c r="E58" s="2" t="s">
        <v>31</v>
      </c>
      <c r="F58" s="2"/>
      <c r="G58" s="2" t="s">
        <v>53</v>
      </c>
      <c r="H58" s="2"/>
    </row>
    <row r="59" spans="1:8" x14ac:dyDescent="0.3">
      <c r="A59" s="1">
        <v>46080</v>
      </c>
      <c r="B59" s="2" t="s">
        <v>8</v>
      </c>
      <c r="C59" s="2" t="s">
        <v>53</v>
      </c>
      <c r="D59" s="2"/>
      <c r="E59" s="2"/>
      <c r="F59" s="2" t="s">
        <v>53</v>
      </c>
      <c r="G59" s="2">
        <v>0</v>
      </c>
      <c r="H59" s="2"/>
    </row>
    <row r="60" spans="1:8" x14ac:dyDescent="0.3">
      <c r="A60" s="1">
        <v>46080</v>
      </c>
      <c r="B60" s="2" t="s">
        <v>92</v>
      </c>
      <c r="C60" s="2" t="s">
        <v>15</v>
      </c>
      <c r="D60" s="2"/>
      <c r="E60" s="2"/>
      <c r="F60" s="2" t="s">
        <v>16</v>
      </c>
      <c r="G60" s="2" t="s">
        <v>16</v>
      </c>
      <c r="H60" s="2"/>
    </row>
    <row r="61" spans="1:8" x14ac:dyDescent="0.3">
      <c r="A61" s="14"/>
      <c r="B61" s="8"/>
      <c r="C61" s="8"/>
      <c r="D61" s="8"/>
      <c r="E61" s="8"/>
      <c r="F61" s="8"/>
      <c r="G61" s="8"/>
      <c r="H61" s="8"/>
    </row>
    <row r="62" spans="1:8" x14ac:dyDescent="0.3">
      <c r="A62" s="10">
        <v>46083</v>
      </c>
      <c r="B62" s="9" t="s">
        <v>8</v>
      </c>
      <c r="C62" s="9">
        <v>0</v>
      </c>
      <c r="D62" s="9" t="s">
        <v>60</v>
      </c>
      <c r="E62" s="9" t="s">
        <v>102</v>
      </c>
      <c r="F62" s="9"/>
      <c r="G62" s="9" t="s">
        <v>103</v>
      </c>
      <c r="H62" s="9"/>
    </row>
    <row r="63" spans="1:8" x14ac:dyDescent="0.3">
      <c r="A63" s="10">
        <v>46083</v>
      </c>
      <c r="B63" s="9" t="s">
        <v>92</v>
      </c>
      <c r="C63" s="9"/>
      <c r="D63" s="9" t="s">
        <v>104</v>
      </c>
      <c r="E63" s="9" t="s">
        <v>104</v>
      </c>
      <c r="F63" s="9"/>
      <c r="G63" s="9">
        <v>0</v>
      </c>
      <c r="H63" s="9"/>
    </row>
    <row r="64" spans="1:8" x14ac:dyDescent="0.3">
      <c r="A64" s="10">
        <v>46085</v>
      </c>
      <c r="B64" s="9" t="s">
        <v>8</v>
      </c>
      <c r="C64" s="9" t="s">
        <v>105</v>
      </c>
      <c r="D64" s="9"/>
      <c r="E64" s="9" t="s">
        <v>31</v>
      </c>
      <c r="F64" s="9" t="s">
        <v>13</v>
      </c>
      <c r="G64" s="9" t="s">
        <v>100</v>
      </c>
      <c r="H64" s="9"/>
    </row>
    <row r="65" spans="1:8" x14ac:dyDescent="0.3">
      <c r="A65" s="10">
        <v>46085</v>
      </c>
      <c r="B65" s="9" t="s">
        <v>92</v>
      </c>
      <c r="C65" s="9" t="s">
        <v>16</v>
      </c>
      <c r="D65" s="9"/>
      <c r="E65" s="9"/>
      <c r="F65" s="9" t="s">
        <v>16</v>
      </c>
      <c r="G65" s="9">
        <v>0</v>
      </c>
      <c r="H65" s="9"/>
    </row>
    <row r="66" spans="1:8" x14ac:dyDescent="0.3">
      <c r="A66" s="10">
        <v>46087</v>
      </c>
      <c r="B66" s="9" t="s">
        <v>8</v>
      </c>
      <c r="C66" s="9" t="s">
        <v>100</v>
      </c>
      <c r="D66" s="9" t="s">
        <v>106</v>
      </c>
      <c r="E66" s="9" t="s">
        <v>107</v>
      </c>
      <c r="F66" s="9" t="s">
        <v>108</v>
      </c>
      <c r="G66" s="9" t="s">
        <v>81</v>
      </c>
      <c r="H66" s="9"/>
    </row>
    <row r="67" spans="1:8" x14ac:dyDescent="0.3">
      <c r="A67" s="10">
        <v>46088</v>
      </c>
      <c r="B67" s="9" t="s">
        <v>8</v>
      </c>
      <c r="C67" s="9" t="s">
        <v>81</v>
      </c>
      <c r="D67" s="9"/>
      <c r="E67" s="9" t="s">
        <v>109</v>
      </c>
      <c r="F67" s="9"/>
      <c r="G67" s="9" t="s">
        <v>48</v>
      </c>
      <c r="H67" s="9"/>
    </row>
    <row r="68" spans="1:8" x14ac:dyDescent="0.3">
      <c r="A68" s="10">
        <v>46090</v>
      </c>
      <c r="B68" s="9" t="s">
        <v>8</v>
      </c>
      <c r="C68" s="9" t="s">
        <v>48</v>
      </c>
      <c r="D68" s="9"/>
      <c r="E68" s="9" t="s">
        <v>102</v>
      </c>
      <c r="F68" s="9" t="s">
        <v>21</v>
      </c>
      <c r="G68" s="9" t="s">
        <v>93</v>
      </c>
      <c r="H68" s="9"/>
    </row>
    <row r="69" spans="1:8" x14ac:dyDescent="0.3">
      <c r="A69" s="10">
        <v>46091</v>
      </c>
      <c r="B69" s="9" t="s">
        <v>8</v>
      </c>
      <c r="C69" s="9" t="s">
        <v>93</v>
      </c>
      <c r="D69" s="9" t="s">
        <v>106</v>
      </c>
      <c r="E69" s="9" t="s">
        <v>61</v>
      </c>
      <c r="F69" s="9"/>
      <c r="G69" s="9" t="s">
        <v>110</v>
      </c>
      <c r="H69" s="9"/>
    </row>
    <row r="70" spans="1:8" x14ac:dyDescent="0.3">
      <c r="A70" s="10">
        <v>46092</v>
      </c>
      <c r="B70" s="9" t="s">
        <v>8</v>
      </c>
      <c r="C70" s="9" t="s">
        <v>110</v>
      </c>
      <c r="D70" s="9"/>
      <c r="E70" s="9" t="s">
        <v>111</v>
      </c>
      <c r="F70" s="9"/>
      <c r="G70" s="9" t="s">
        <v>51</v>
      </c>
      <c r="H70" s="9"/>
    </row>
    <row r="71" spans="1:8" x14ac:dyDescent="0.3">
      <c r="A71" s="10">
        <v>46094</v>
      </c>
      <c r="B71" s="9" t="s">
        <v>8</v>
      </c>
      <c r="C71" s="9" t="s">
        <v>51</v>
      </c>
      <c r="D71" s="9"/>
      <c r="E71" s="9" t="s">
        <v>31</v>
      </c>
      <c r="F71" s="9"/>
      <c r="G71" s="9" t="s">
        <v>112</v>
      </c>
      <c r="H71" s="9"/>
    </row>
    <row r="72" spans="1:8" x14ac:dyDescent="0.3">
      <c r="A72" s="10">
        <v>46097</v>
      </c>
      <c r="B72" s="9" t="s">
        <v>8</v>
      </c>
      <c r="C72" s="9" t="s">
        <v>112</v>
      </c>
      <c r="D72" s="9" t="s">
        <v>113</v>
      </c>
      <c r="E72" s="9"/>
      <c r="F72" s="9" t="s">
        <v>114</v>
      </c>
      <c r="G72" s="9" t="s">
        <v>115</v>
      </c>
      <c r="H72" s="9"/>
    </row>
    <row r="73" spans="1:8" x14ac:dyDescent="0.3">
      <c r="A73" s="10">
        <v>46097</v>
      </c>
      <c r="B73" s="9" t="s">
        <v>92</v>
      </c>
      <c r="C73" s="9"/>
      <c r="D73" s="9" t="s">
        <v>116</v>
      </c>
      <c r="E73" s="9"/>
      <c r="F73" s="9" t="s">
        <v>15</v>
      </c>
      <c r="G73" s="9" t="s">
        <v>117</v>
      </c>
      <c r="H73" s="9"/>
    </row>
    <row r="74" spans="1:8" x14ac:dyDescent="0.3">
      <c r="A74" s="10">
        <v>46098</v>
      </c>
      <c r="B74" s="9" t="s">
        <v>8</v>
      </c>
      <c r="C74" s="9" t="s">
        <v>115</v>
      </c>
      <c r="D74" s="9"/>
      <c r="E74" s="9" t="s">
        <v>118</v>
      </c>
      <c r="F74" s="9" t="s">
        <v>119</v>
      </c>
      <c r="G74" s="9" t="s">
        <v>120</v>
      </c>
      <c r="H74" s="9" t="s">
        <v>121</v>
      </c>
    </row>
    <row r="75" spans="1:8" x14ac:dyDescent="0.3">
      <c r="A75" s="10">
        <v>46100</v>
      </c>
      <c r="B75" s="9" t="s">
        <v>8</v>
      </c>
      <c r="C75" s="9" t="s">
        <v>120</v>
      </c>
      <c r="D75" s="9"/>
      <c r="E75" s="9" t="s">
        <v>98</v>
      </c>
      <c r="F75" s="9"/>
      <c r="G75" s="9" t="s">
        <v>73</v>
      </c>
      <c r="H75" s="9"/>
    </row>
    <row r="76" spans="1:8" x14ac:dyDescent="0.3">
      <c r="A76" s="10">
        <v>46102</v>
      </c>
      <c r="B76" s="9" t="s">
        <v>8</v>
      </c>
      <c r="C76" s="9" t="s">
        <v>73</v>
      </c>
      <c r="D76" s="9" t="s">
        <v>122</v>
      </c>
      <c r="E76" s="9" t="s">
        <v>123</v>
      </c>
      <c r="F76" s="9" t="s">
        <v>21</v>
      </c>
      <c r="G76" s="9" t="s">
        <v>124</v>
      </c>
      <c r="H76" s="9"/>
    </row>
    <row r="77" spans="1:8" x14ac:dyDescent="0.3">
      <c r="A77" s="10">
        <v>46104</v>
      </c>
      <c r="B77" s="9" t="s">
        <v>8</v>
      </c>
      <c r="C77" s="9" t="s">
        <v>124</v>
      </c>
      <c r="D77" s="9"/>
      <c r="E77" s="9" t="s">
        <v>73</v>
      </c>
      <c r="F77" s="9"/>
      <c r="G77" s="9" t="s">
        <v>99</v>
      </c>
      <c r="H77" s="9"/>
    </row>
    <row r="78" spans="1:8" x14ac:dyDescent="0.3">
      <c r="A78" s="10">
        <v>46105</v>
      </c>
      <c r="B78" s="9" t="s">
        <v>8</v>
      </c>
      <c r="C78" s="9" t="s">
        <v>99</v>
      </c>
      <c r="D78" s="9"/>
      <c r="E78" s="9" t="s">
        <v>48</v>
      </c>
      <c r="F78" s="9"/>
      <c r="G78" s="9" t="s">
        <v>125</v>
      </c>
      <c r="H78" s="9"/>
    </row>
    <row r="79" spans="1:8" x14ac:dyDescent="0.3">
      <c r="A79" s="10">
        <v>46106</v>
      </c>
      <c r="B79" s="9" t="s">
        <v>8</v>
      </c>
      <c r="C79" s="9" t="s">
        <v>125</v>
      </c>
      <c r="D79" s="9"/>
      <c r="E79" s="9" t="s">
        <v>26</v>
      </c>
      <c r="F79" s="9"/>
      <c r="G79" s="9" t="s">
        <v>109</v>
      </c>
      <c r="H79" s="9"/>
    </row>
    <row r="80" spans="1:8" x14ac:dyDescent="0.3">
      <c r="A80" s="10">
        <v>46106</v>
      </c>
      <c r="B80" s="9" t="s">
        <v>92</v>
      </c>
      <c r="C80" s="9" t="s">
        <v>117</v>
      </c>
      <c r="D80" s="9"/>
      <c r="E80" s="9"/>
      <c r="F80" s="9" t="s">
        <v>16</v>
      </c>
      <c r="G80" s="9" t="s">
        <v>126</v>
      </c>
      <c r="H80" s="9"/>
    </row>
    <row r="81" spans="1:8" x14ac:dyDescent="0.3">
      <c r="A81" s="1">
        <v>46108</v>
      </c>
      <c r="B81" s="2" t="s">
        <v>8</v>
      </c>
      <c r="C81" s="2" t="s">
        <v>109</v>
      </c>
      <c r="D81" s="2"/>
      <c r="E81" s="2" t="s">
        <v>21</v>
      </c>
      <c r="F81" s="2"/>
      <c r="G81" s="2" t="s">
        <v>53</v>
      </c>
      <c r="H81" s="2"/>
    </row>
    <row r="82" spans="1:8" x14ac:dyDescent="0.3">
      <c r="A82" s="1">
        <v>46109</v>
      </c>
      <c r="B82" s="2" t="s">
        <v>8</v>
      </c>
      <c r="C82" s="2" t="s">
        <v>53</v>
      </c>
      <c r="D82" s="2"/>
      <c r="E82" s="2" t="s">
        <v>63</v>
      </c>
      <c r="F82" s="2" t="s">
        <v>46</v>
      </c>
      <c r="G82" s="2" t="s">
        <v>34</v>
      </c>
      <c r="H82" s="2"/>
    </row>
    <row r="83" spans="1:8" x14ac:dyDescent="0.3">
      <c r="A83" s="1">
        <v>46109</v>
      </c>
      <c r="B83" s="2" t="s">
        <v>127</v>
      </c>
      <c r="C83" s="2">
        <v>0</v>
      </c>
      <c r="D83" s="2" t="s">
        <v>33</v>
      </c>
      <c r="E83" s="2" t="s">
        <v>33</v>
      </c>
      <c r="F83" s="2"/>
      <c r="G83" s="2">
        <v>0</v>
      </c>
      <c r="H83" s="2"/>
    </row>
    <row r="84" spans="1:8" x14ac:dyDescent="0.3">
      <c r="A84" s="1">
        <v>46111</v>
      </c>
      <c r="B84" s="2" t="s">
        <v>8</v>
      </c>
      <c r="C84" s="2" t="s">
        <v>34</v>
      </c>
      <c r="D84" s="2" t="s">
        <v>128</v>
      </c>
      <c r="E84" s="2" t="s">
        <v>42</v>
      </c>
      <c r="F84" s="2"/>
      <c r="G84" s="2" t="s">
        <v>129</v>
      </c>
      <c r="H84" s="2"/>
    </row>
    <row r="85" spans="1:8" x14ac:dyDescent="0.3">
      <c r="A85" s="1">
        <v>46112</v>
      </c>
      <c r="B85" s="2" t="s">
        <v>8</v>
      </c>
      <c r="C85" s="2" t="s">
        <v>129</v>
      </c>
      <c r="D85" s="2"/>
      <c r="E85" s="2" t="s">
        <v>130</v>
      </c>
      <c r="F85" s="2"/>
      <c r="G85" s="2" t="s">
        <v>44</v>
      </c>
      <c r="H85" s="2"/>
    </row>
    <row r="86" spans="1:8" x14ac:dyDescent="0.3">
      <c r="A86" s="14"/>
      <c r="B86" s="8"/>
      <c r="C86" s="8"/>
      <c r="D86" s="8"/>
      <c r="E86" s="8"/>
      <c r="F86" s="8"/>
      <c r="G86" s="8"/>
      <c r="H86" s="8"/>
    </row>
    <row r="87" spans="1:8" x14ac:dyDescent="0.3">
      <c r="A87" s="1">
        <v>46113</v>
      </c>
      <c r="B87" s="2" t="s">
        <v>92</v>
      </c>
      <c r="C87" s="2" t="s">
        <v>126</v>
      </c>
      <c r="D87" s="2"/>
      <c r="E87" s="2"/>
      <c r="F87" s="2" t="s">
        <v>16</v>
      </c>
      <c r="G87" s="2" t="s">
        <v>131</v>
      </c>
      <c r="H87" s="2"/>
    </row>
    <row r="88" spans="1:8" x14ac:dyDescent="0.3">
      <c r="A88" s="1">
        <v>46114</v>
      </c>
      <c r="B88" s="2" t="s">
        <v>8</v>
      </c>
      <c r="C88" s="2" t="s">
        <v>44</v>
      </c>
      <c r="D88" s="2" t="s">
        <v>60</v>
      </c>
      <c r="E88" s="2" t="s">
        <v>132</v>
      </c>
      <c r="F88" s="2"/>
      <c r="G88" s="2" t="s">
        <v>98</v>
      </c>
      <c r="H88" s="2"/>
    </row>
    <row r="89" spans="1:8" x14ac:dyDescent="0.3">
      <c r="A89" s="1">
        <v>46114</v>
      </c>
      <c r="B89" s="2" t="s">
        <v>127</v>
      </c>
      <c r="C89" s="2"/>
      <c r="D89" s="2" t="s">
        <v>133</v>
      </c>
      <c r="E89" s="2" t="s">
        <v>133</v>
      </c>
      <c r="F89" s="2"/>
      <c r="G89" s="2">
        <v>0</v>
      </c>
      <c r="H89" s="2"/>
    </row>
    <row r="90" spans="1:8" x14ac:dyDescent="0.3">
      <c r="A90" s="1">
        <v>46115</v>
      </c>
      <c r="B90" s="2" t="s">
        <v>8</v>
      </c>
      <c r="C90" s="2" t="s">
        <v>98</v>
      </c>
      <c r="D90" s="2"/>
      <c r="E90" s="2" t="s">
        <v>98</v>
      </c>
      <c r="F90" s="2"/>
      <c r="G90" s="2">
        <v>0</v>
      </c>
      <c r="H90" s="2"/>
    </row>
    <row r="91" spans="1:8" x14ac:dyDescent="0.3">
      <c r="A91" s="1">
        <v>46116</v>
      </c>
      <c r="B91" s="2" t="s">
        <v>8</v>
      </c>
      <c r="C91" s="2">
        <v>0</v>
      </c>
      <c r="D91" s="2" t="s">
        <v>74</v>
      </c>
      <c r="E91" s="2" t="s">
        <v>100</v>
      </c>
      <c r="F91" s="2"/>
      <c r="G91" s="2" t="s">
        <v>100</v>
      </c>
      <c r="H91" s="2"/>
    </row>
    <row r="92" spans="1:8" x14ac:dyDescent="0.3">
      <c r="A92" s="1">
        <v>46116</v>
      </c>
      <c r="B92" s="2" t="s">
        <v>92</v>
      </c>
      <c r="C92" s="2" t="s">
        <v>131</v>
      </c>
      <c r="D92" s="2"/>
      <c r="E92" s="2"/>
      <c r="F92" s="2" t="s">
        <v>16</v>
      </c>
      <c r="G92" s="2" t="s">
        <v>23</v>
      </c>
      <c r="H92" s="2"/>
    </row>
    <row r="93" spans="1:8" x14ac:dyDescent="0.3">
      <c r="A93" s="10">
        <v>46118</v>
      </c>
      <c r="B93" s="9" t="s">
        <v>8</v>
      </c>
      <c r="C93" s="9" t="s">
        <v>100</v>
      </c>
      <c r="D93" s="9" t="s">
        <v>60</v>
      </c>
      <c r="E93" s="9" t="s">
        <v>134</v>
      </c>
      <c r="F93" s="9" t="s">
        <v>96</v>
      </c>
      <c r="G93" s="9" t="s">
        <v>135</v>
      </c>
      <c r="H93" s="9"/>
    </row>
    <row r="94" spans="1:8" x14ac:dyDescent="0.3">
      <c r="A94" s="10">
        <v>46120</v>
      </c>
      <c r="B94" s="9" t="s">
        <v>8</v>
      </c>
      <c r="C94" s="9" t="s">
        <v>135</v>
      </c>
      <c r="D94" s="9"/>
      <c r="E94" s="9" t="s">
        <v>136</v>
      </c>
      <c r="F94" s="9" t="s">
        <v>46</v>
      </c>
      <c r="G94" s="9" t="s">
        <v>9</v>
      </c>
      <c r="H94" s="9"/>
    </row>
    <row r="95" spans="1:8" x14ac:dyDescent="0.3">
      <c r="A95" s="10">
        <v>46121</v>
      </c>
      <c r="B95" s="9" t="s">
        <v>8</v>
      </c>
      <c r="C95" s="9" t="s">
        <v>9</v>
      </c>
      <c r="D95" s="9" t="s">
        <v>74</v>
      </c>
      <c r="E95" s="9" t="s">
        <v>137</v>
      </c>
      <c r="F95" s="9" t="s">
        <v>53</v>
      </c>
      <c r="G95" s="9" t="s">
        <v>100</v>
      </c>
      <c r="H95" s="9" t="s">
        <v>63</v>
      </c>
    </row>
    <row r="96" spans="1:8" x14ac:dyDescent="0.3">
      <c r="A96" s="10">
        <v>46122</v>
      </c>
      <c r="B96" s="9" t="s">
        <v>8</v>
      </c>
      <c r="C96" s="9" t="s">
        <v>101</v>
      </c>
      <c r="D96" s="9" t="s">
        <v>89</v>
      </c>
      <c r="E96" s="9" t="s">
        <v>95</v>
      </c>
      <c r="F96" s="9" t="s">
        <v>138</v>
      </c>
      <c r="G96" s="9" t="s">
        <v>139</v>
      </c>
      <c r="H96" s="9"/>
    </row>
    <row r="97" spans="1:8" x14ac:dyDescent="0.3">
      <c r="A97" s="10">
        <v>46122</v>
      </c>
      <c r="B97" s="9" t="s">
        <v>140</v>
      </c>
      <c r="C97" s="9" t="s">
        <v>23</v>
      </c>
      <c r="D97" s="9"/>
      <c r="E97" s="9" t="s">
        <v>16</v>
      </c>
      <c r="F97" s="9"/>
      <c r="G97" s="9" t="s">
        <v>24</v>
      </c>
      <c r="H97" s="9"/>
    </row>
    <row r="98" spans="1:8" x14ac:dyDescent="0.3">
      <c r="A98" s="10">
        <v>46123</v>
      </c>
      <c r="B98" s="9" t="s">
        <v>8</v>
      </c>
      <c r="C98" s="9" t="s">
        <v>139</v>
      </c>
      <c r="D98" s="9"/>
      <c r="E98" s="9" t="s">
        <v>46</v>
      </c>
      <c r="F98" s="9" t="s">
        <v>96</v>
      </c>
      <c r="G98" s="9" t="s">
        <v>141</v>
      </c>
      <c r="H98" s="9"/>
    </row>
    <row r="99" spans="1:8" x14ac:dyDescent="0.3">
      <c r="A99" s="10">
        <v>46126</v>
      </c>
      <c r="B99" s="9" t="s">
        <v>8</v>
      </c>
      <c r="C99" s="9" t="s">
        <v>141</v>
      </c>
      <c r="D99" s="9"/>
      <c r="E99" s="9" t="s">
        <v>94</v>
      </c>
      <c r="F99" s="9"/>
      <c r="G99" s="9" t="s">
        <v>72</v>
      </c>
      <c r="H99" s="9"/>
    </row>
    <row r="100" spans="1:8" x14ac:dyDescent="0.3">
      <c r="A100" s="1">
        <v>46127</v>
      </c>
      <c r="B100" s="2" t="s">
        <v>8</v>
      </c>
      <c r="C100" s="2" t="s">
        <v>72</v>
      </c>
      <c r="D100" s="2"/>
      <c r="E100" s="2" t="s">
        <v>63</v>
      </c>
      <c r="F100" s="2" t="s">
        <v>21</v>
      </c>
      <c r="G100" s="2" t="s">
        <v>53</v>
      </c>
      <c r="H100" s="2"/>
    </row>
    <row r="101" spans="1:8" x14ac:dyDescent="0.3">
      <c r="A101" s="1">
        <v>46127</v>
      </c>
      <c r="B101" s="2" t="s">
        <v>142</v>
      </c>
      <c r="C101" s="2">
        <v>0</v>
      </c>
      <c r="D101" s="2" t="s">
        <v>63</v>
      </c>
      <c r="E101" s="2" t="s">
        <v>46</v>
      </c>
      <c r="F101" s="2"/>
      <c r="G101" s="2" t="s">
        <v>143</v>
      </c>
      <c r="H101" s="2"/>
    </row>
    <row r="102" spans="1:8" x14ac:dyDescent="0.3">
      <c r="A102" s="1">
        <v>46127</v>
      </c>
      <c r="B102" s="2" t="s">
        <v>14</v>
      </c>
      <c r="C102" s="2" t="s">
        <v>24</v>
      </c>
      <c r="D102" s="2"/>
      <c r="E102" s="2"/>
      <c r="F102" s="2" t="s">
        <v>144</v>
      </c>
      <c r="G102" s="2">
        <v>0</v>
      </c>
      <c r="H102" s="2"/>
    </row>
    <row r="103" spans="1:8" x14ac:dyDescent="0.3">
      <c r="A103" s="1">
        <v>46128</v>
      </c>
      <c r="B103" s="2" t="s">
        <v>8</v>
      </c>
      <c r="C103" s="2" t="s">
        <v>53</v>
      </c>
      <c r="D103" s="2" t="s">
        <v>145</v>
      </c>
      <c r="E103" s="2" t="s">
        <v>9</v>
      </c>
      <c r="F103" s="2"/>
      <c r="G103" s="2" t="s">
        <v>146</v>
      </c>
      <c r="H103" s="2"/>
    </row>
    <row r="104" spans="1:8" x14ac:dyDescent="0.3">
      <c r="A104" s="1">
        <v>46129</v>
      </c>
      <c r="B104" s="2" t="s">
        <v>8</v>
      </c>
      <c r="C104" s="2" t="s">
        <v>146</v>
      </c>
      <c r="D104" s="2"/>
      <c r="E104" s="2" t="s">
        <v>26</v>
      </c>
      <c r="F104" s="2"/>
      <c r="G104" s="2" t="s">
        <v>147</v>
      </c>
      <c r="H104" s="2"/>
    </row>
    <row r="105" spans="1:8" x14ac:dyDescent="0.3">
      <c r="A105" s="1">
        <v>46132</v>
      </c>
      <c r="B105" s="2" t="s">
        <v>8</v>
      </c>
      <c r="C105" s="2" t="s">
        <v>147</v>
      </c>
      <c r="D105" s="2"/>
      <c r="E105" s="2" t="s">
        <v>26</v>
      </c>
      <c r="F105" s="2"/>
      <c r="G105" s="2" t="s">
        <v>148</v>
      </c>
      <c r="H105" s="2"/>
    </row>
    <row r="106" spans="1:8" x14ac:dyDescent="0.3">
      <c r="A106" s="10">
        <v>46133</v>
      </c>
      <c r="B106" s="9" t="s">
        <v>8</v>
      </c>
      <c r="C106" s="9" t="s">
        <v>148</v>
      </c>
      <c r="D106" s="9"/>
      <c r="E106" s="9" t="s">
        <v>72</v>
      </c>
      <c r="F106" s="9"/>
      <c r="G106" s="9" t="s">
        <v>149</v>
      </c>
      <c r="H106" s="2"/>
    </row>
    <row r="107" spans="1:8" x14ac:dyDescent="0.3">
      <c r="A107" s="10">
        <v>46133</v>
      </c>
      <c r="B107" s="9" t="s">
        <v>127</v>
      </c>
      <c r="C107" s="9"/>
      <c r="D107" s="9" t="s">
        <v>80</v>
      </c>
      <c r="E107" s="9" t="s">
        <v>80</v>
      </c>
      <c r="F107" s="9"/>
      <c r="G107" s="9">
        <v>0</v>
      </c>
      <c r="H107" s="9" t="s">
        <v>123</v>
      </c>
    </row>
    <row r="108" spans="1:8" x14ac:dyDescent="0.3">
      <c r="A108" s="10">
        <v>46134</v>
      </c>
      <c r="B108" s="9" t="s">
        <v>8</v>
      </c>
      <c r="C108" s="9" t="s">
        <v>149</v>
      </c>
      <c r="D108" s="9" t="s">
        <v>60</v>
      </c>
      <c r="E108" s="9" t="s">
        <v>26</v>
      </c>
      <c r="F108" s="9"/>
      <c r="G108" s="9" t="s">
        <v>150</v>
      </c>
      <c r="H108" s="9"/>
    </row>
    <row r="109" spans="1:8" x14ac:dyDescent="0.3">
      <c r="A109" s="10">
        <v>46135</v>
      </c>
      <c r="B109" s="9" t="s">
        <v>8</v>
      </c>
      <c r="C109" s="9" t="s">
        <v>150</v>
      </c>
      <c r="D109" s="9"/>
      <c r="E109" s="9" t="s">
        <v>69</v>
      </c>
      <c r="F109" s="9"/>
      <c r="G109" s="9" t="s">
        <v>75</v>
      </c>
      <c r="H109" s="9"/>
    </row>
    <row r="110" spans="1:8" x14ac:dyDescent="0.3">
      <c r="A110" s="10">
        <v>46136</v>
      </c>
      <c r="B110" s="9" t="s">
        <v>8</v>
      </c>
      <c r="C110" s="9" t="s">
        <v>75</v>
      </c>
      <c r="D110" s="9"/>
      <c r="E110" s="9"/>
      <c r="F110" s="9" t="s">
        <v>112</v>
      </c>
      <c r="G110" s="9" t="s">
        <v>151</v>
      </c>
      <c r="H110" s="9"/>
    </row>
    <row r="111" spans="1:8" x14ac:dyDescent="0.3">
      <c r="A111" s="10">
        <v>46136</v>
      </c>
      <c r="B111" s="9" t="s">
        <v>14</v>
      </c>
      <c r="C111" s="9">
        <v>0</v>
      </c>
      <c r="D111" s="9" t="s">
        <v>23</v>
      </c>
      <c r="E111" s="9"/>
      <c r="F111" s="9" t="s">
        <v>16</v>
      </c>
      <c r="G111" s="9" t="s">
        <v>24</v>
      </c>
      <c r="H111" s="9"/>
    </row>
    <row r="112" spans="1:8" x14ac:dyDescent="0.3">
      <c r="A112" s="10">
        <v>46139</v>
      </c>
      <c r="B112" s="9" t="s">
        <v>8</v>
      </c>
      <c r="C112" s="9" t="s">
        <v>151</v>
      </c>
      <c r="D112" s="9"/>
      <c r="E112" s="9" t="s">
        <v>31</v>
      </c>
      <c r="F112" s="9" t="s">
        <v>63</v>
      </c>
      <c r="G112" s="9" t="s">
        <v>152</v>
      </c>
      <c r="H112" s="9"/>
    </row>
    <row r="113" spans="1:8" x14ac:dyDescent="0.3">
      <c r="A113" s="10">
        <v>46140</v>
      </c>
      <c r="B113" s="9" t="s">
        <v>8</v>
      </c>
      <c r="C113" s="9" t="s">
        <v>152</v>
      </c>
      <c r="D113" s="9"/>
      <c r="E113" s="9"/>
      <c r="F113" s="9" t="s">
        <v>96</v>
      </c>
      <c r="G113" s="9" t="s">
        <v>153</v>
      </c>
      <c r="H113" s="2"/>
    </row>
    <row r="114" spans="1:8" x14ac:dyDescent="0.3">
      <c r="A114" s="10">
        <v>46141</v>
      </c>
      <c r="B114" s="9" t="s">
        <v>8</v>
      </c>
      <c r="C114" s="9" t="s">
        <v>153</v>
      </c>
      <c r="D114" s="9"/>
      <c r="E114" s="9" t="s">
        <v>83</v>
      </c>
      <c r="F114" s="9"/>
      <c r="G114" s="9" t="s">
        <v>138</v>
      </c>
      <c r="H114" s="2"/>
    </row>
    <row r="115" spans="1:8" x14ac:dyDescent="0.3">
      <c r="A115" s="14"/>
      <c r="B115" s="8"/>
      <c r="C115" s="8"/>
      <c r="D115" s="8"/>
      <c r="E115" s="8"/>
      <c r="F115" s="8"/>
      <c r="G115" s="8"/>
      <c r="H115" s="8"/>
    </row>
    <row r="116" spans="1:8" x14ac:dyDescent="0.3">
      <c r="A116" s="10">
        <v>46143</v>
      </c>
      <c r="B116" s="9" t="s">
        <v>8</v>
      </c>
      <c r="C116" s="9" t="s">
        <v>138</v>
      </c>
      <c r="D116" s="9" t="s">
        <v>74</v>
      </c>
      <c r="E116" s="9" t="s">
        <v>26</v>
      </c>
      <c r="F116" s="9"/>
      <c r="G116" s="9" t="s">
        <v>39</v>
      </c>
      <c r="H116" s="9"/>
    </row>
    <row r="117" spans="1:8" x14ac:dyDescent="0.3">
      <c r="A117" s="10">
        <v>46144</v>
      </c>
      <c r="B117" s="9" t="s">
        <v>8</v>
      </c>
      <c r="C117" s="9" t="s">
        <v>39</v>
      </c>
      <c r="D117" s="9"/>
      <c r="E117" s="9"/>
      <c r="F117" s="9" t="s">
        <v>46</v>
      </c>
      <c r="G117" s="9" t="s">
        <v>154</v>
      </c>
      <c r="H117" s="9"/>
    </row>
    <row r="118" spans="1:8" x14ac:dyDescent="0.3">
      <c r="A118" s="10">
        <v>46144</v>
      </c>
      <c r="B118" s="9" t="s">
        <v>14</v>
      </c>
      <c r="C118" s="9" t="s">
        <v>24</v>
      </c>
      <c r="D118" s="9"/>
      <c r="E118" s="9"/>
      <c r="F118" s="9" t="s">
        <v>16</v>
      </c>
      <c r="G118" s="9" t="s">
        <v>40</v>
      </c>
      <c r="H118" s="9"/>
    </row>
    <row r="119" spans="1:8" x14ac:dyDescent="0.3">
      <c r="A119" s="10">
        <v>46146</v>
      </c>
      <c r="B119" s="9" t="s">
        <v>8</v>
      </c>
      <c r="C119" s="9" t="s">
        <v>154</v>
      </c>
      <c r="D119" s="9"/>
      <c r="E119" s="9" t="s">
        <v>78</v>
      </c>
      <c r="F119" s="9"/>
      <c r="G119" s="9" t="s">
        <v>18</v>
      </c>
      <c r="H119" s="9"/>
    </row>
    <row r="120" spans="1:8" x14ac:dyDescent="0.3">
      <c r="A120" s="10">
        <v>46147</v>
      </c>
      <c r="B120" s="9" t="s">
        <v>8</v>
      </c>
      <c r="C120" s="9" t="s">
        <v>18</v>
      </c>
      <c r="D120" s="9" t="s">
        <v>10</v>
      </c>
      <c r="E120" s="9" t="s">
        <v>31</v>
      </c>
      <c r="F120" s="9"/>
      <c r="G120" s="9" t="s">
        <v>155</v>
      </c>
      <c r="H120" s="9"/>
    </row>
    <row r="121" spans="1:8" x14ac:dyDescent="0.3">
      <c r="A121" s="10">
        <v>46147</v>
      </c>
      <c r="B121" s="9" t="s">
        <v>127</v>
      </c>
      <c r="C121" s="9"/>
      <c r="D121" s="9" t="s">
        <v>156</v>
      </c>
      <c r="E121" s="9" t="s">
        <v>156</v>
      </c>
      <c r="F121" s="9"/>
      <c r="G121" s="9">
        <v>0</v>
      </c>
      <c r="H121" s="9"/>
    </row>
    <row r="122" spans="1:8" x14ac:dyDescent="0.3">
      <c r="A122" s="10">
        <v>46147</v>
      </c>
      <c r="B122" s="9" t="s">
        <v>14</v>
      </c>
      <c r="C122" s="9" t="s">
        <v>40</v>
      </c>
      <c r="D122" s="9"/>
      <c r="E122" s="9"/>
      <c r="F122" s="9" t="s">
        <v>16</v>
      </c>
      <c r="G122" s="9" t="s">
        <v>15</v>
      </c>
      <c r="H122" s="9"/>
    </row>
    <row r="123" spans="1:8" x14ac:dyDescent="0.3">
      <c r="A123" s="10">
        <v>46148</v>
      </c>
      <c r="B123" s="9" t="s">
        <v>8</v>
      </c>
      <c r="C123" s="9" t="s">
        <v>155</v>
      </c>
      <c r="D123" s="9"/>
      <c r="E123" s="9" t="s">
        <v>54</v>
      </c>
      <c r="F123" s="9"/>
      <c r="G123" s="9" t="s">
        <v>157</v>
      </c>
      <c r="H123" s="9"/>
    </row>
    <row r="124" spans="1:8" x14ac:dyDescent="0.3">
      <c r="A124" s="10">
        <v>46149</v>
      </c>
      <c r="B124" s="9" t="s">
        <v>8</v>
      </c>
      <c r="C124" s="9" t="s">
        <v>157</v>
      </c>
      <c r="D124" s="9"/>
      <c r="E124" s="9" t="s">
        <v>42</v>
      </c>
      <c r="F124" s="9"/>
      <c r="G124" s="9" t="s">
        <v>47</v>
      </c>
      <c r="H124" s="9"/>
    </row>
    <row r="125" spans="1:8" x14ac:dyDescent="0.3">
      <c r="A125" s="10">
        <v>46150</v>
      </c>
      <c r="B125" s="9" t="s">
        <v>8</v>
      </c>
      <c r="C125" s="9" t="s">
        <v>47</v>
      </c>
      <c r="D125" s="9"/>
      <c r="E125" s="9" t="s">
        <v>31</v>
      </c>
      <c r="F125" s="9" t="s">
        <v>46</v>
      </c>
      <c r="G125" s="9" t="s">
        <v>158</v>
      </c>
      <c r="H125" s="9"/>
    </row>
    <row r="126" spans="1:8" x14ac:dyDescent="0.3">
      <c r="A126" s="10">
        <v>46150</v>
      </c>
      <c r="B126" s="9" t="s">
        <v>14</v>
      </c>
      <c r="C126" s="9" t="s">
        <v>15</v>
      </c>
      <c r="D126" s="9"/>
      <c r="E126" s="9"/>
      <c r="F126" s="9" t="s">
        <v>16</v>
      </c>
      <c r="G126" s="9" t="s">
        <v>16</v>
      </c>
      <c r="H126" s="9"/>
    </row>
    <row r="127" spans="1:8" x14ac:dyDescent="0.3">
      <c r="A127" s="10">
        <v>46153</v>
      </c>
      <c r="B127" s="9" t="s">
        <v>8</v>
      </c>
      <c r="C127" s="9" t="s">
        <v>158</v>
      </c>
      <c r="D127" s="9" t="s">
        <v>74</v>
      </c>
      <c r="E127" s="9" t="s">
        <v>31</v>
      </c>
      <c r="F127" s="9" t="s">
        <v>159</v>
      </c>
      <c r="G127" s="9" t="s">
        <v>160</v>
      </c>
      <c r="H127" s="9"/>
    </row>
    <row r="128" spans="1:8" x14ac:dyDescent="0.3">
      <c r="A128" s="10">
        <v>46154</v>
      </c>
      <c r="B128" s="9" t="s">
        <v>8</v>
      </c>
      <c r="C128" s="9" t="s">
        <v>160</v>
      </c>
      <c r="D128" s="9"/>
      <c r="E128" s="9"/>
      <c r="F128" s="9" t="s">
        <v>21</v>
      </c>
      <c r="G128" s="9" t="s">
        <v>36</v>
      </c>
      <c r="H128" s="9"/>
    </row>
    <row r="129" spans="1:8" x14ac:dyDescent="0.3">
      <c r="A129" s="10">
        <v>46155</v>
      </c>
      <c r="B129" s="9" t="s">
        <v>8</v>
      </c>
      <c r="C129" s="9" t="s">
        <v>36</v>
      </c>
      <c r="D129" s="9" t="s">
        <v>74</v>
      </c>
      <c r="E129" s="9" t="s">
        <v>94</v>
      </c>
      <c r="F129" s="9"/>
      <c r="G129" s="9" t="s">
        <v>161</v>
      </c>
      <c r="H129" s="9"/>
    </row>
    <row r="130" spans="1:8" x14ac:dyDescent="0.3">
      <c r="A130" s="10">
        <v>46155</v>
      </c>
      <c r="B130" s="9" t="s">
        <v>162</v>
      </c>
      <c r="C130" s="9"/>
      <c r="D130" s="9" t="s">
        <v>163</v>
      </c>
      <c r="E130" s="9" t="s">
        <v>163</v>
      </c>
      <c r="F130" s="9"/>
      <c r="G130" s="9">
        <v>0</v>
      </c>
      <c r="H130" s="9"/>
    </row>
    <row r="131" spans="1:8" x14ac:dyDescent="0.3">
      <c r="A131" s="10">
        <v>46156</v>
      </c>
      <c r="B131" s="9" t="s">
        <v>8</v>
      </c>
      <c r="C131" s="9" t="s">
        <v>161</v>
      </c>
      <c r="D131" s="9"/>
      <c r="E131" s="9" t="s">
        <v>61</v>
      </c>
      <c r="F131" s="9"/>
      <c r="G131" s="9" t="s">
        <v>54</v>
      </c>
      <c r="H131" s="9"/>
    </row>
    <row r="132" spans="1:8" x14ac:dyDescent="0.3">
      <c r="A132" s="10">
        <v>46157</v>
      </c>
      <c r="B132" s="9" t="s">
        <v>8</v>
      </c>
      <c r="C132" s="9" t="s">
        <v>54</v>
      </c>
      <c r="D132" s="9" t="s">
        <v>60</v>
      </c>
      <c r="E132" s="9" t="s">
        <v>31</v>
      </c>
      <c r="F132" s="9"/>
      <c r="G132" s="9" t="s">
        <v>164</v>
      </c>
      <c r="H132" s="9"/>
    </row>
    <row r="133" spans="1:8" x14ac:dyDescent="0.3">
      <c r="A133" s="10">
        <v>46160</v>
      </c>
      <c r="B133" s="9" t="s">
        <v>8</v>
      </c>
      <c r="C133" s="9" t="s">
        <v>164</v>
      </c>
      <c r="D133" s="9"/>
      <c r="E133" s="9" t="s">
        <v>165</v>
      </c>
      <c r="F133" s="9"/>
      <c r="G133" s="9" t="s">
        <v>161</v>
      </c>
      <c r="H133" s="9"/>
    </row>
    <row r="134" spans="1:8" x14ac:dyDescent="0.3">
      <c r="A134" s="10">
        <v>46161</v>
      </c>
      <c r="B134" s="9" t="s">
        <v>8</v>
      </c>
      <c r="C134" s="9" t="s">
        <v>161</v>
      </c>
      <c r="D134" s="9"/>
      <c r="E134" s="9" t="s">
        <v>166</v>
      </c>
      <c r="F134" s="9"/>
      <c r="G134" s="9" t="s">
        <v>167</v>
      </c>
      <c r="H134" s="9"/>
    </row>
    <row r="135" spans="1:8" x14ac:dyDescent="0.3">
      <c r="A135" s="10">
        <v>46163</v>
      </c>
      <c r="B135" s="9" t="s">
        <v>8</v>
      </c>
      <c r="C135" s="9" t="s">
        <v>167</v>
      </c>
      <c r="D135" s="9" t="s">
        <v>168</v>
      </c>
      <c r="E135" s="9" t="s">
        <v>169</v>
      </c>
      <c r="F135" s="9"/>
      <c r="G135" s="9" t="s">
        <v>170</v>
      </c>
      <c r="H135" s="9"/>
    </row>
    <row r="136" spans="1:8" x14ac:dyDescent="0.3">
      <c r="A136" s="10">
        <v>46163</v>
      </c>
      <c r="B136" s="9" t="s">
        <v>162</v>
      </c>
      <c r="C136" s="9"/>
      <c r="D136" s="9" t="s">
        <v>171</v>
      </c>
      <c r="E136" s="9" t="s">
        <v>171</v>
      </c>
      <c r="F136" s="9"/>
      <c r="G136" s="9">
        <v>0</v>
      </c>
      <c r="H136" s="9"/>
    </row>
    <row r="137" spans="1:8" x14ac:dyDescent="0.3">
      <c r="A137" s="10">
        <v>46164</v>
      </c>
      <c r="B137" s="9" t="s">
        <v>8</v>
      </c>
      <c r="C137" s="9" t="s">
        <v>170</v>
      </c>
      <c r="D137" s="9"/>
      <c r="E137" s="9" t="s">
        <v>71</v>
      </c>
      <c r="F137" s="9"/>
      <c r="G137" s="9" t="s">
        <v>172</v>
      </c>
      <c r="H137" s="9"/>
    </row>
    <row r="138" spans="1:8" x14ac:dyDescent="0.3">
      <c r="A138" s="10">
        <v>46167</v>
      </c>
      <c r="B138" s="9" t="s">
        <v>8</v>
      </c>
      <c r="C138" s="9" t="s">
        <v>172</v>
      </c>
      <c r="D138" s="9" t="s">
        <v>132</v>
      </c>
      <c r="E138" s="9" t="s">
        <v>35</v>
      </c>
      <c r="F138" s="9"/>
      <c r="G138" s="9" t="s">
        <v>173</v>
      </c>
      <c r="H138" s="9"/>
    </row>
    <row r="139" spans="1:8" x14ac:dyDescent="0.3">
      <c r="A139" s="10">
        <v>46168</v>
      </c>
      <c r="B139" s="9" t="s">
        <v>8</v>
      </c>
      <c r="C139" s="9" t="s">
        <v>173</v>
      </c>
      <c r="D139" s="9" t="s">
        <v>60</v>
      </c>
      <c r="E139" s="9" t="s">
        <v>17</v>
      </c>
      <c r="F139" s="9" t="s">
        <v>38</v>
      </c>
      <c r="G139" s="9" t="s">
        <v>174</v>
      </c>
      <c r="H139" s="9"/>
    </row>
    <row r="140" spans="1:8" x14ac:dyDescent="0.3">
      <c r="A140" s="1">
        <v>46168</v>
      </c>
      <c r="B140" s="2" t="s">
        <v>175</v>
      </c>
      <c r="C140" s="2" t="s">
        <v>16</v>
      </c>
      <c r="D140" s="2">
        <v>0</v>
      </c>
      <c r="E140" s="2"/>
      <c r="F140" s="2" t="s">
        <v>16</v>
      </c>
      <c r="G140" s="2">
        <v>0</v>
      </c>
      <c r="H140" s="2"/>
    </row>
    <row r="141" spans="1:8" x14ac:dyDescent="0.3">
      <c r="A141" s="1">
        <v>46171</v>
      </c>
      <c r="B141" s="2" t="s">
        <v>8</v>
      </c>
      <c r="C141" s="2" t="s">
        <v>174</v>
      </c>
      <c r="D141" s="2">
        <v>0</v>
      </c>
      <c r="E141" s="2" t="s">
        <v>98</v>
      </c>
      <c r="F141" s="2"/>
      <c r="G141" s="2" t="s">
        <v>176</v>
      </c>
      <c r="H141" s="2"/>
    </row>
    <row r="142" spans="1:8" x14ac:dyDescent="0.3">
      <c r="A142" s="1">
        <v>46172</v>
      </c>
      <c r="B142" s="2" t="s">
        <v>8</v>
      </c>
      <c r="C142" s="2" t="s">
        <v>176</v>
      </c>
      <c r="D142" s="2">
        <v>0</v>
      </c>
      <c r="E142" s="2"/>
      <c r="F142" s="2" t="s">
        <v>21</v>
      </c>
      <c r="G142" s="2" t="s">
        <v>82</v>
      </c>
      <c r="H142" s="2"/>
    </row>
    <row r="143" spans="1:8" x14ac:dyDescent="0.3">
      <c r="A143" s="14"/>
      <c r="B143" s="8"/>
      <c r="C143" s="8"/>
      <c r="D143" s="8"/>
      <c r="E143" s="8"/>
      <c r="F143" s="8"/>
      <c r="G143" s="8"/>
      <c r="H143" s="8"/>
    </row>
    <row r="144" spans="1:8" x14ac:dyDescent="0.3">
      <c r="A144" s="1">
        <v>46174</v>
      </c>
      <c r="B144" s="2" t="s">
        <v>8</v>
      </c>
      <c r="C144" s="2" t="s">
        <v>82</v>
      </c>
      <c r="D144" s="2">
        <v>0</v>
      </c>
      <c r="E144" s="2" t="s">
        <v>54</v>
      </c>
      <c r="F144" s="2" t="s">
        <v>21</v>
      </c>
      <c r="G144" s="2" t="s">
        <v>177</v>
      </c>
      <c r="H144" s="2"/>
    </row>
    <row r="145" spans="1:8" x14ac:dyDescent="0.3">
      <c r="A145" s="1">
        <v>46174</v>
      </c>
      <c r="B145" s="2" t="s">
        <v>175</v>
      </c>
      <c r="C145" s="2">
        <v>0</v>
      </c>
      <c r="D145" s="2" t="s">
        <v>23</v>
      </c>
      <c r="E145" s="2" t="s">
        <v>16</v>
      </c>
      <c r="F145" s="2">
        <v>0</v>
      </c>
      <c r="G145" s="2" t="s">
        <v>24</v>
      </c>
      <c r="H145" s="2"/>
    </row>
    <row r="146" spans="1:8" x14ac:dyDescent="0.3">
      <c r="A146" s="1">
        <v>46175</v>
      </c>
      <c r="B146" s="2" t="s">
        <v>8</v>
      </c>
      <c r="C146" s="2" t="s">
        <v>177</v>
      </c>
      <c r="D146" s="2">
        <v>0</v>
      </c>
      <c r="E146" s="2" t="s">
        <v>48</v>
      </c>
      <c r="F146" s="2">
        <v>0</v>
      </c>
      <c r="G146" s="2" t="s">
        <v>178</v>
      </c>
      <c r="H146" s="2"/>
    </row>
    <row r="147" spans="1:8" x14ac:dyDescent="0.3">
      <c r="A147" s="1">
        <v>46176</v>
      </c>
      <c r="B147" s="2" t="s">
        <v>8</v>
      </c>
      <c r="C147" s="2" t="s">
        <v>178</v>
      </c>
      <c r="D147" s="2" t="s">
        <v>155</v>
      </c>
      <c r="E147" s="2"/>
      <c r="F147" s="2" t="s">
        <v>63</v>
      </c>
      <c r="G147" s="2" t="s">
        <v>179</v>
      </c>
      <c r="H147" s="2"/>
    </row>
    <row r="148" spans="1:8" x14ac:dyDescent="0.3">
      <c r="A148" s="1">
        <v>46177</v>
      </c>
      <c r="B148" s="2" t="s">
        <v>8</v>
      </c>
      <c r="C148" s="2" t="s">
        <v>179</v>
      </c>
      <c r="D148" s="2">
        <v>0</v>
      </c>
      <c r="E148" s="2" t="s">
        <v>178</v>
      </c>
      <c r="F148" s="2" t="s">
        <v>180</v>
      </c>
      <c r="G148" s="2" t="s">
        <v>181</v>
      </c>
      <c r="H148" s="2"/>
    </row>
    <row r="149" spans="1:8" x14ac:dyDescent="0.3">
      <c r="A149" s="1">
        <v>46182</v>
      </c>
      <c r="B149" s="2" t="s">
        <v>8</v>
      </c>
      <c r="C149" s="2" t="s">
        <v>181</v>
      </c>
      <c r="D149" s="2">
        <v>0</v>
      </c>
      <c r="E149" s="2" t="s">
        <v>47</v>
      </c>
      <c r="F149" s="2">
        <v>0</v>
      </c>
      <c r="G149" s="2" t="s">
        <v>182</v>
      </c>
      <c r="H149" s="2"/>
    </row>
    <row r="150" spans="1:8" x14ac:dyDescent="0.3">
      <c r="A150" s="1">
        <v>46183</v>
      </c>
      <c r="B150" s="2" t="s">
        <v>8</v>
      </c>
      <c r="C150" s="2" t="s">
        <v>182</v>
      </c>
      <c r="D150" s="2">
        <v>0</v>
      </c>
      <c r="E150" s="2"/>
      <c r="F150" s="2" t="s">
        <v>46</v>
      </c>
      <c r="G150" s="2" t="s">
        <v>130</v>
      </c>
      <c r="H150" s="2"/>
    </row>
    <row r="151" spans="1:8" x14ac:dyDescent="0.3">
      <c r="A151" s="1">
        <v>46184</v>
      </c>
      <c r="B151" s="2" t="s">
        <v>8</v>
      </c>
      <c r="C151" s="2" t="s">
        <v>130</v>
      </c>
      <c r="D151" s="2" t="s">
        <v>94</v>
      </c>
      <c r="E151" s="2" t="s">
        <v>94</v>
      </c>
      <c r="F151" s="2">
        <v>0</v>
      </c>
      <c r="G151" s="2" t="s">
        <v>130</v>
      </c>
      <c r="H151" s="2"/>
    </row>
    <row r="152" spans="1:8" x14ac:dyDescent="0.3">
      <c r="A152" s="1">
        <v>46185</v>
      </c>
      <c r="B152" s="2" t="s">
        <v>8</v>
      </c>
      <c r="C152" s="2" t="s">
        <v>130</v>
      </c>
      <c r="D152" s="2">
        <v>0</v>
      </c>
      <c r="E152" s="2" t="s">
        <v>44</v>
      </c>
      <c r="F152" s="2">
        <v>0</v>
      </c>
      <c r="G152" s="2" t="s">
        <v>183</v>
      </c>
      <c r="H152" s="7"/>
    </row>
    <row r="153" spans="1:8" x14ac:dyDescent="0.3">
      <c r="A153" s="1">
        <v>46187</v>
      </c>
      <c r="B153" s="2" t="s">
        <v>8</v>
      </c>
      <c r="C153" s="2" t="s">
        <v>183</v>
      </c>
      <c r="D153" s="2" t="s">
        <v>60</v>
      </c>
      <c r="E153" s="2" t="s">
        <v>98</v>
      </c>
      <c r="F153" s="2"/>
      <c r="G153" s="2" t="s">
        <v>135</v>
      </c>
      <c r="H153" s="2"/>
    </row>
    <row r="154" spans="1:8" x14ac:dyDescent="0.3">
      <c r="A154" s="1">
        <v>46189</v>
      </c>
      <c r="B154" s="2" t="s">
        <v>8</v>
      </c>
      <c r="C154" s="2" t="s">
        <v>135</v>
      </c>
      <c r="D154" s="2"/>
      <c r="E154" s="2" t="s">
        <v>44</v>
      </c>
      <c r="F154" s="2"/>
      <c r="G154" s="2" t="s">
        <v>184</v>
      </c>
      <c r="H154" s="2"/>
    </row>
    <row r="155" spans="1:8" x14ac:dyDescent="0.3">
      <c r="A155" s="1">
        <v>46190</v>
      </c>
      <c r="B155" s="2" t="s">
        <v>8</v>
      </c>
      <c r="C155" s="2" t="s">
        <v>184</v>
      </c>
      <c r="D155" s="2"/>
      <c r="E155" s="2" t="s">
        <v>98</v>
      </c>
      <c r="F155" s="2"/>
      <c r="G155" s="2" t="s">
        <v>172</v>
      </c>
      <c r="H155" s="2"/>
    </row>
    <row r="156" spans="1:8" x14ac:dyDescent="0.3">
      <c r="A156" s="1">
        <v>46191</v>
      </c>
      <c r="B156" s="2" t="s">
        <v>8</v>
      </c>
      <c r="C156" s="2" t="s">
        <v>172</v>
      </c>
      <c r="D156" s="2" t="s">
        <v>74</v>
      </c>
      <c r="E156" s="2" t="s">
        <v>185</v>
      </c>
      <c r="F156" s="2" t="s">
        <v>13</v>
      </c>
      <c r="G156" s="2" t="s">
        <v>168</v>
      </c>
      <c r="H156" s="2"/>
    </row>
    <row r="157" spans="1:8" x14ac:dyDescent="0.3">
      <c r="A157" s="1">
        <v>46191</v>
      </c>
      <c r="B157" s="2" t="s">
        <v>175</v>
      </c>
      <c r="C157" s="2" t="s">
        <v>24</v>
      </c>
      <c r="D157" s="2" t="s">
        <v>186</v>
      </c>
      <c r="E157" s="2" t="s">
        <v>187</v>
      </c>
      <c r="F157" s="2"/>
      <c r="G157" s="2">
        <v>0</v>
      </c>
      <c r="H157" s="2"/>
    </row>
    <row r="158" spans="1:8" x14ac:dyDescent="0.3">
      <c r="A158" s="1">
        <v>46192</v>
      </c>
      <c r="B158" s="2" t="s">
        <v>8</v>
      </c>
      <c r="C158" s="2" t="s">
        <v>168</v>
      </c>
      <c r="D158" s="2"/>
      <c r="E158" s="2" t="s">
        <v>55</v>
      </c>
      <c r="F158" s="2"/>
      <c r="G158" s="2" t="s">
        <v>129</v>
      </c>
      <c r="H158" s="2"/>
    </row>
    <row r="159" spans="1:8" x14ac:dyDescent="0.3">
      <c r="A159" s="1">
        <v>46195</v>
      </c>
      <c r="B159" s="2" t="s">
        <v>8</v>
      </c>
      <c r="C159" s="2" t="s">
        <v>129</v>
      </c>
      <c r="D159" s="2"/>
      <c r="E159" s="2" t="s">
        <v>72</v>
      </c>
      <c r="F159" s="2" t="s">
        <v>119</v>
      </c>
      <c r="G159" s="2" t="s">
        <v>41</v>
      </c>
      <c r="H159" s="2"/>
    </row>
    <row r="160" spans="1:8" x14ac:dyDescent="0.3">
      <c r="A160" s="1">
        <v>46195</v>
      </c>
      <c r="B160" s="2" t="s">
        <v>127</v>
      </c>
      <c r="C160" s="2"/>
      <c r="D160" s="2" t="s">
        <v>188</v>
      </c>
      <c r="E160" s="2" t="s">
        <v>188</v>
      </c>
      <c r="F160" s="2"/>
      <c r="G160" s="2">
        <v>0</v>
      </c>
      <c r="H160" s="2"/>
    </row>
    <row r="161" spans="1:8" x14ac:dyDescent="0.3">
      <c r="A161" s="1">
        <v>46196</v>
      </c>
      <c r="B161" s="2" t="s">
        <v>8</v>
      </c>
      <c r="C161" s="2" t="s">
        <v>41</v>
      </c>
      <c r="D161" s="2"/>
      <c r="E161" s="2" t="s">
        <v>21</v>
      </c>
      <c r="F161" s="2"/>
      <c r="G161" s="2" t="s">
        <v>9</v>
      </c>
      <c r="H161" s="2"/>
    </row>
    <row r="162" spans="1:8" x14ac:dyDescent="0.3">
      <c r="A162" s="1">
        <v>46197</v>
      </c>
      <c r="B162" s="2" t="s">
        <v>8</v>
      </c>
      <c r="C162" s="2" t="s">
        <v>9</v>
      </c>
      <c r="D162" s="2" t="s">
        <v>94</v>
      </c>
      <c r="E162" s="2" t="s">
        <v>84</v>
      </c>
      <c r="F162" s="2"/>
      <c r="G162" s="2" t="s">
        <v>189</v>
      </c>
      <c r="H162" s="2"/>
    </row>
    <row r="163" spans="1:8" x14ac:dyDescent="0.3">
      <c r="A163" s="1">
        <v>46197</v>
      </c>
      <c r="B163" s="2" t="s">
        <v>190</v>
      </c>
      <c r="C163" s="2"/>
      <c r="D163" s="2" t="s">
        <v>191</v>
      </c>
      <c r="E163" s="2" t="s">
        <v>191</v>
      </c>
      <c r="F163" s="2"/>
      <c r="G163" s="2">
        <v>0</v>
      </c>
      <c r="H163" s="2"/>
    </row>
    <row r="164" spans="1:8" x14ac:dyDescent="0.3">
      <c r="A164" s="1">
        <v>46198</v>
      </c>
      <c r="B164" s="2" t="s">
        <v>8</v>
      </c>
      <c r="C164" s="2" t="s">
        <v>189</v>
      </c>
      <c r="D164" s="2"/>
      <c r="E164" s="2" t="s">
        <v>112</v>
      </c>
      <c r="F164" s="2"/>
      <c r="G164" s="2" t="s">
        <v>101</v>
      </c>
      <c r="H164" s="2"/>
    </row>
    <row r="165" spans="1:8" x14ac:dyDescent="0.3">
      <c r="A165" s="1">
        <v>46199</v>
      </c>
      <c r="B165" s="2" t="s">
        <v>8</v>
      </c>
      <c r="C165" s="2" t="s">
        <v>101</v>
      </c>
      <c r="D165" s="2" t="s">
        <v>74</v>
      </c>
      <c r="E165" s="2" t="s">
        <v>98</v>
      </c>
      <c r="F165" s="2" t="s">
        <v>73</v>
      </c>
      <c r="G165" s="2" t="s">
        <v>192</v>
      </c>
      <c r="H165" s="2"/>
    </row>
    <row r="166" spans="1:8" x14ac:dyDescent="0.3">
      <c r="A166" s="1">
        <v>46200</v>
      </c>
      <c r="B166" s="2" t="s">
        <v>175</v>
      </c>
      <c r="C166" s="2"/>
      <c r="D166" s="2"/>
      <c r="E166" s="2"/>
      <c r="F166" s="2" t="s">
        <v>16</v>
      </c>
      <c r="G166" s="2"/>
      <c r="H166" s="2"/>
    </row>
    <row r="167" spans="1:8" x14ac:dyDescent="0.3">
      <c r="A167" s="1">
        <v>46202</v>
      </c>
      <c r="B167" s="2" t="s">
        <v>8</v>
      </c>
      <c r="C167" s="2" t="s">
        <v>192</v>
      </c>
      <c r="D167" s="2"/>
      <c r="E167" s="2" t="s">
        <v>44</v>
      </c>
      <c r="F167" s="2"/>
      <c r="G167" s="2" t="s">
        <v>91</v>
      </c>
      <c r="H167" s="2"/>
    </row>
    <row r="168" spans="1:8" x14ac:dyDescent="0.3">
      <c r="A168" s="1">
        <v>46203</v>
      </c>
      <c r="B168" s="2" t="s">
        <v>8</v>
      </c>
      <c r="C168" s="2" t="s">
        <v>91</v>
      </c>
      <c r="D168" s="2"/>
      <c r="E168" s="2" t="s">
        <v>125</v>
      </c>
      <c r="F168" s="2"/>
      <c r="G168" s="2" t="s">
        <v>20</v>
      </c>
      <c r="H168" s="2"/>
    </row>
    <row r="169" spans="1:8" x14ac:dyDescent="0.3">
      <c r="A169" s="8"/>
      <c r="B169" s="8"/>
      <c r="C169" s="8"/>
      <c r="D169" s="8"/>
      <c r="E169" s="8"/>
      <c r="F169" s="8"/>
      <c r="G169" s="8"/>
      <c r="H169" s="8"/>
    </row>
    <row r="170" spans="1:8" x14ac:dyDescent="0.3">
      <c r="A170" s="8"/>
      <c r="B170" s="8"/>
      <c r="C170" s="8"/>
      <c r="D170" s="8"/>
      <c r="E170" s="8"/>
      <c r="F170" s="8"/>
      <c r="G170" s="8"/>
      <c r="H170" s="8"/>
    </row>
  </sheetData>
  <mergeCells count="1">
    <mergeCell ref="C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2"/>
  <sheetViews>
    <sheetView topLeftCell="J1" workbookViewId="0">
      <pane ySplit="1" topLeftCell="A2" activePane="bottomLeft" state="frozen"/>
      <selection pane="bottomLeft" activeCell="F21" sqref="F21"/>
    </sheetView>
  </sheetViews>
  <sheetFormatPr defaultRowHeight="14.4" x14ac:dyDescent="0.3"/>
  <cols>
    <col min="1" max="1" width="10.5546875" bestFit="1" customWidth="1"/>
    <col min="2" max="2" width="12.109375" bestFit="1" customWidth="1"/>
    <col min="3" max="3" width="13.88671875" bestFit="1" customWidth="1"/>
    <col min="4" max="4" width="15.5546875" bestFit="1" customWidth="1"/>
    <col min="5" max="5" width="9.6640625" bestFit="1" customWidth="1"/>
    <col min="6" max="6" width="18.6640625" bestFit="1" customWidth="1"/>
    <col min="7" max="7" width="12.88671875" bestFit="1" customWidth="1"/>
    <col min="8" max="8" width="20.33203125" bestFit="1" customWidth="1"/>
    <col min="9" max="9" width="16.21875" bestFit="1" customWidth="1"/>
    <col min="10" max="10" width="12.33203125" bestFit="1" customWidth="1"/>
    <col min="11" max="11" width="22" bestFit="1" customWidth="1"/>
    <col min="12" max="12" width="14.77734375" bestFit="1" customWidth="1"/>
    <col min="13" max="13" width="13.33203125" bestFit="1" customWidth="1"/>
    <col min="14" max="14" width="17" bestFit="1" customWidth="1"/>
    <col min="15" max="15" width="14.21875" bestFit="1" customWidth="1"/>
    <col min="16" max="16" width="11" bestFit="1" customWidth="1"/>
  </cols>
  <sheetData>
    <row r="1" spans="1:16" x14ac:dyDescent="0.3">
      <c r="A1" s="17" t="s">
        <v>0</v>
      </c>
      <c r="B1" s="17" t="s">
        <v>193</v>
      </c>
      <c r="C1" s="17" t="s">
        <v>194</v>
      </c>
      <c r="D1" s="17" t="s">
        <v>195</v>
      </c>
      <c r="E1" s="17" t="s">
        <v>196</v>
      </c>
      <c r="F1" s="17" t="s">
        <v>197</v>
      </c>
      <c r="G1" s="17" t="s">
        <v>3</v>
      </c>
      <c r="H1" s="17" t="s">
        <v>198</v>
      </c>
      <c r="I1" s="17" t="s">
        <v>199</v>
      </c>
      <c r="J1" s="17" t="s">
        <v>7</v>
      </c>
      <c r="K1" s="17" t="s">
        <v>200</v>
      </c>
      <c r="L1" s="17" t="s">
        <v>201</v>
      </c>
      <c r="M1" s="17" t="s">
        <v>202</v>
      </c>
      <c r="N1" s="17" t="s">
        <v>203</v>
      </c>
      <c r="O1" s="17" t="s">
        <v>204</v>
      </c>
      <c r="P1" s="17" t="s">
        <v>221</v>
      </c>
    </row>
    <row r="2" spans="1:16" x14ac:dyDescent="0.3">
      <c r="A2" s="15">
        <v>46024</v>
      </c>
      <c r="B2" t="s">
        <v>205</v>
      </c>
      <c r="C2" t="s">
        <v>206</v>
      </c>
      <c r="D2" t="s">
        <v>207</v>
      </c>
      <c r="E2" t="s">
        <v>208</v>
      </c>
      <c r="F2" s="16">
        <v>32</v>
      </c>
      <c r="G2" s="16">
        <v>215</v>
      </c>
      <c r="H2" s="16">
        <v>210</v>
      </c>
      <c r="I2" s="16">
        <v>16</v>
      </c>
      <c r="J2" s="16"/>
      <c r="K2" s="16">
        <v>21</v>
      </c>
      <c r="M2">
        <v>3</v>
      </c>
      <c r="N2" s="16">
        <f>SUM(F2,G2,J2)-SUM(H2,I2)</f>
        <v>21</v>
      </c>
      <c r="O2" s="16">
        <f>IF(K2="","",K2-N2)</f>
        <v>0</v>
      </c>
      <c r="P2" t="str">
        <f>IF(O2="","",IF(ABS(O2)&lt;0.001,"OK","CHECK"))</f>
        <v>OK</v>
      </c>
    </row>
    <row r="3" spans="1:16" x14ac:dyDescent="0.3">
      <c r="A3" s="15">
        <v>46024</v>
      </c>
      <c r="B3" t="s">
        <v>205</v>
      </c>
      <c r="C3" t="s">
        <v>209</v>
      </c>
      <c r="D3" t="s">
        <v>210</v>
      </c>
      <c r="E3" t="s">
        <v>211</v>
      </c>
      <c r="F3" s="16">
        <v>2</v>
      </c>
      <c r="G3" s="16">
        <v>0</v>
      </c>
      <c r="H3" s="16"/>
      <c r="I3" s="16">
        <v>1</v>
      </c>
      <c r="J3" s="16"/>
      <c r="K3" s="16">
        <v>1</v>
      </c>
      <c r="M3">
        <v>4</v>
      </c>
      <c r="N3" s="16">
        <f t="shared" ref="N3:N66" si="0">SUM(F3,G3,J3)-SUM(H3,I3)</f>
        <v>1</v>
      </c>
      <c r="O3" s="16">
        <f t="shared" ref="O3:O66" si="1">IF(K3="","",K3-N3)</f>
        <v>0</v>
      </c>
      <c r="P3" t="str">
        <f t="shared" ref="P3:P66" si="2">IF(O3="","",IF(ABS(O3)&lt;0.001,"OK","CHECK"))</f>
        <v>OK</v>
      </c>
    </row>
    <row r="4" spans="1:16" x14ac:dyDescent="0.3">
      <c r="A4" s="15">
        <v>46025</v>
      </c>
      <c r="B4" t="s">
        <v>205</v>
      </c>
      <c r="C4" t="s">
        <v>206</v>
      </c>
      <c r="D4" t="s">
        <v>207</v>
      </c>
      <c r="E4" t="s">
        <v>208</v>
      </c>
      <c r="F4" s="16">
        <v>21</v>
      </c>
      <c r="G4" s="16">
        <v>100</v>
      </c>
      <c r="H4" s="16">
        <v>43</v>
      </c>
      <c r="I4" s="16"/>
      <c r="J4" s="16"/>
      <c r="K4" s="16">
        <v>78</v>
      </c>
      <c r="M4">
        <v>5</v>
      </c>
      <c r="N4" s="16">
        <f t="shared" si="0"/>
        <v>78</v>
      </c>
      <c r="O4" s="16">
        <f t="shared" si="1"/>
        <v>0</v>
      </c>
      <c r="P4" t="str">
        <f t="shared" si="2"/>
        <v>OK</v>
      </c>
    </row>
    <row r="5" spans="1:16" x14ac:dyDescent="0.3">
      <c r="A5" s="15">
        <v>46027</v>
      </c>
      <c r="B5" t="s">
        <v>205</v>
      </c>
      <c r="C5" t="s">
        <v>206</v>
      </c>
      <c r="D5" t="s">
        <v>207</v>
      </c>
      <c r="E5" t="s">
        <v>208</v>
      </c>
      <c r="F5" s="16">
        <v>78</v>
      </c>
      <c r="G5" s="16">
        <v>0</v>
      </c>
      <c r="H5" s="16">
        <v>11</v>
      </c>
      <c r="I5" s="16">
        <v>20</v>
      </c>
      <c r="J5" s="16"/>
      <c r="K5" s="16">
        <v>47</v>
      </c>
      <c r="M5">
        <v>6</v>
      </c>
      <c r="N5" s="16">
        <f t="shared" si="0"/>
        <v>47</v>
      </c>
      <c r="O5" s="16">
        <f t="shared" si="1"/>
        <v>0</v>
      </c>
      <c r="P5" t="str">
        <f t="shared" si="2"/>
        <v>OK</v>
      </c>
    </row>
    <row r="6" spans="1:16" x14ac:dyDescent="0.3">
      <c r="A6" s="15">
        <v>46027</v>
      </c>
      <c r="B6" t="s">
        <v>205</v>
      </c>
      <c r="C6" t="s">
        <v>209</v>
      </c>
      <c r="D6" t="s">
        <v>210</v>
      </c>
      <c r="E6" t="s">
        <v>211</v>
      </c>
      <c r="F6" s="16">
        <v>1</v>
      </c>
      <c r="G6" s="16">
        <v>5</v>
      </c>
      <c r="H6" s="16"/>
      <c r="I6" s="16">
        <v>2</v>
      </c>
      <c r="J6" s="16"/>
      <c r="K6" s="16">
        <v>4</v>
      </c>
      <c r="M6">
        <v>7</v>
      </c>
      <c r="N6" s="16">
        <f t="shared" si="0"/>
        <v>4</v>
      </c>
      <c r="O6" s="16">
        <f t="shared" si="1"/>
        <v>0</v>
      </c>
      <c r="P6" t="str">
        <f t="shared" si="2"/>
        <v>OK</v>
      </c>
    </row>
    <row r="7" spans="1:16" x14ac:dyDescent="0.3">
      <c r="A7" s="15">
        <v>46028</v>
      </c>
      <c r="B7" t="s">
        <v>205</v>
      </c>
      <c r="C7" t="s">
        <v>206</v>
      </c>
      <c r="D7" t="s">
        <v>207</v>
      </c>
      <c r="E7" t="s">
        <v>208</v>
      </c>
      <c r="F7" s="16">
        <v>47</v>
      </c>
      <c r="G7" s="16">
        <v>222</v>
      </c>
      <c r="H7" s="16">
        <v>50</v>
      </c>
      <c r="I7" s="16">
        <v>0</v>
      </c>
      <c r="J7" s="16"/>
      <c r="K7" s="16">
        <v>219</v>
      </c>
      <c r="M7">
        <v>8</v>
      </c>
      <c r="N7" s="16">
        <f t="shared" si="0"/>
        <v>219</v>
      </c>
      <c r="O7" s="16">
        <f t="shared" si="1"/>
        <v>0</v>
      </c>
      <c r="P7" t="str">
        <f t="shared" si="2"/>
        <v>OK</v>
      </c>
    </row>
    <row r="8" spans="1:16" x14ac:dyDescent="0.3">
      <c r="A8" s="15">
        <v>46029</v>
      </c>
      <c r="B8" t="s">
        <v>205</v>
      </c>
      <c r="C8" t="s">
        <v>206</v>
      </c>
      <c r="D8" t="s">
        <v>207</v>
      </c>
      <c r="E8" t="s">
        <v>208</v>
      </c>
      <c r="F8" s="16">
        <v>219</v>
      </c>
      <c r="G8" s="16">
        <v>0</v>
      </c>
      <c r="H8" s="16">
        <v>165</v>
      </c>
      <c r="I8" s="16">
        <v>0</v>
      </c>
      <c r="J8" s="16"/>
      <c r="K8" s="16">
        <v>54</v>
      </c>
      <c r="M8">
        <v>9</v>
      </c>
      <c r="N8" s="16">
        <f t="shared" si="0"/>
        <v>54</v>
      </c>
      <c r="O8" s="16">
        <f t="shared" si="1"/>
        <v>0</v>
      </c>
      <c r="P8" t="str">
        <f t="shared" si="2"/>
        <v>OK</v>
      </c>
    </row>
    <row r="9" spans="1:16" x14ac:dyDescent="0.3">
      <c r="A9" s="15">
        <v>46031</v>
      </c>
      <c r="B9" t="s">
        <v>205</v>
      </c>
      <c r="C9" t="s">
        <v>206</v>
      </c>
      <c r="D9" t="s">
        <v>207</v>
      </c>
      <c r="E9" t="s">
        <v>208</v>
      </c>
      <c r="F9" s="16">
        <v>54</v>
      </c>
      <c r="G9" s="16">
        <v>84</v>
      </c>
      <c r="H9" s="16">
        <v>60</v>
      </c>
      <c r="I9" s="16">
        <v>0</v>
      </c>
      <c r="J9" s="16"/>
      <c r="K9" s="16">
        <v>78</v>
      </c>
      <c r="M9">
        <v>10</v>
      </c>
      <c r="N9" s="16">
        <f t="shared" si="0"/>
        <v>78</v>
      </c>
      <c r="O9" s="16">
        <f t="shared" si="1"/>
        <v>0</v>
      </c>
      <c r="P9" t="str">
        <f t="shared" si="2"/>
        <v>OK</v>
      </c>
    </row>
    <row r="10" spans="1:16" x14ac:dyDescent="0.3">
      <c r="A10" s="15">
        <v>46031</v>
      </c>
      <c r="B10" t="s">
        <v>205</v>
      </c>
      <c r="C10" t="s">
        <v>209</v>
      </c>
      <c r="D10" t="s">
        <v>212</v>
      </c>
      <c r="E10" t="s">
        <v>213</v>
      </c>
      <c r="F10" s="16">
        <v>0</v>
      </c>
      <c r="G10" s="16">
        <v>75</v>
      </c>
      <c r="H10" s="16">
        <v>75</v>
      </c>
      <c r="I10" s="16">
        <v>0</v>
      </c>
      <c r="J10" s="16"/>
      <c r="K10" s="16">
        <v>0</v>
      </c>
      <c r="M10">
        <v>11</v>
      </c>
      <c r="N10" s="16">
        <f t="shared" si="0"/>
        <v>0</v>
      </c>
      <c r="O10" s="16">
        <f t="shared" si="1"/>
        <v>0</v>
      </c>
      <c r="P10" t="str">
        <f t="shared" si="2"/>
        <v>OK</v>
      </c>
    </row>
    <row r="11" spans="1:16" x14ac:dyDescent="0.3">
      <c r="A11" s="15">
        <v>46032</v>
      </c>
      <c r="B11" t="s">
        <v>205</v>
      </c>
      <c r="C11" t="s">
        <v>206</v>
      </c>
      <c r="D11" t="s">
        <v>207</v>
      </c>
      <c r="E11" t="s">
        <v>208</v>
      </c>
      <c r="F11" s="16">
        <v>78</v>
      </c>
      <c r="G11" s="16">
        <v>0</v>
      </c>
      <c r="H11" s="16">
        <v>14</v>
      </c>
      <c r="I11" s="16">
        <v>0</v>
      </c>
      <c r="J11" s="16"/>
      <c r="K11" s="16">
        <v>64</v>
      </c>
      <c r="M11">
        <v>12</v>
      </c>
      <c r="N11" s="16">
        <f t="shared" si="0"/>
        <v>64</v>
      </c>
      <c r="O11" s="16">
        <f t="shared" si="1"/>
        <v>0</v>
      </c>
      <c r="P11" t="str">
        <f t="shared" si="2"/>
        <v>OK</v>
      </c>
    </row>
    <row r="12" spans="1:16" x14ac:dyDescent="0.3">
      <c r="A12" s="15">
        <v>46034</v>
      </c>
      <c r="B12" t="s">
        <v>205</v>
      </c>
      <c r="C12" t="s">
        <v>206</v>
      </c>
      <c r="D12" t="s">
        <v>207</v>
      </c>
      <c r="E12" t="s">
        <v>208</v>
      </c>
      <c r="F12" s="16">
        <v>64</v>
      </c>
      <c r="G12" s="16">
        <v>112</v>
      </c>
      <c r="H12" s="16">
        <v>58</v>
      </c>
      <c r="I12" s="16">
        <v>15</v>
      </c>
      <c r="J12" s="16"/>
      <c r="K12" s="16">
        <v>103</v>
      </c>
      <c r="M12">
        <v>13</v>
      </c>
      <c r="N12" s="16">
        <f t="shared" si="0"/>
        <v>103</v>
      </c>
      <c r="O12" s="16">
        <f t="shared" si="1"/>
        <v>0</v>
      </c>
      <c r="P12" t="str">
        <f t="shared" si="2"/>
        <v>OK</v>
      </c>
    </row>
    <row r="13" spans="1:16" x14ac:dyDescent="0.3">
      <c r="A13" s="15">
        <v>46034</v>
      </c>
      <c r="B13" t="s">
        <v>205</v>
      </c>
      <c r="C13" t="s">
        <v>209</v>
      </c>
      <c r="D13" t="s">
        <v>210</v>
      </c>
      <c r="E13" t="s">
        <v>211</v>
      </c>
      <c r="F13" s="16">
        <v>4</v>
      </c>
      <c r="G13" s="16">
        <v>0</v>
      </c>
      <c r="H13" s="16"/>
      <c r="I13" s="16">
        <v>1</v>
      </c>
      <c r="J13" s="16"/>
      <c r="K13" s="16">
        <v>3</v>
      </c>
      <c r="M13">
        <v>14</v>
      </c>
      <c r="N13" s="16">
        <f t="shared" si="0"/>
        <v>3</v>
      </c>
      <c r="O13" s="16">
        <f t="shared" si="1"/>
        <v>0</v>
      </c>
      <c r="P13" t="str">
        <f t="shared" si="2"/>
        <v>OK</v>
      </c>
    </row>
    <row r="14" spans="1:16" x14ac:dyDescent="0.3">
      <c r="A14" s="15">
        <v>46035</v>
      </c>
      <c r="B14" t="s">
        <v>205</v>
      </c>
      <c r="C14" t="s">
        <v>206</v>
      </c>
      <c r="D14" t="s">
        <v>207</v>
      </c>
      <c r="E14" t="s">
        <v>208</v>
      </c>
      <c r="F14" s="16">
        <v>103</v>
      </c>
      <c r="G14" s="16">
        <v>0</v>
      </c>
      <c r="H14" s="16">
        <v>52</v>
      </c>
      <c r="I14" s="16">
        <v>0</v>
      </c>
      <c r="J14" s="16"/>
      <c r="K14" s="16">
        <v>51</v>
      </c>
      <c r="M14">
        <v>15</v>
      </c>
      <c r="N14" s="16">
        <f t="shared" si="0"/>
        <v>51</v>
      </c>
      <c r="O14" s="16">
        <f t="shared" si="1"/>
        <v>0</v>
      </c>
      <c r="P14" t="str">
        <f t="shared" si="2"/>
        <v>OK</v>
      </c>
    </row>
    <row r="15" spans="1:16" x14ac:dyDescent="0.3">
      <c r="A15" s="15">
        <v>46035</v>
      </c>
      <c r="B15" t="s">
        <v>205</v>
      </c>
      <c r="C15" t="s">
        <v>209</v>
      </c>
      <c r="D15" t="s">
        <v>212</v>
      </c>
      <c r="E15" t="s">
        <v>213</v>
      </c>
      <c r="F15" s="16">
        <v>0</v>
      </c>
      <c r="G15" s="16">
        <v>753</v>
      </c>
      <c r="H15" s="16">
        <v>753</v>
      </c>
      <c r="I15" s="16">
        <v>0</v>
      </c>
      <c r="J15" s="16"/>
      <c r="K15" s="16">
        <v>0</v>
      </c>
      <c r="M15">
        <v>16</v>
      </c>
      <c r="N15" s="16">
        <f t="shared" si="0"/>
        <v>0</v>
      </c>
      <c r="O15" s="16">
        <f t="shared" si="1"/>
        <v>0</v>
      </c>
      <c r="P15" t="str">
        <f t="shared" si="2"/>
        <v>OK</v>
      </c>
    </row>
    <row r="16" spans="1:16" x14ac:dyDescent="0.3">
      <c r="A16" s="15">
        <v>46036</v>
      </c>
      <c r="B16" t="s">
        <v>205</v>
      </c>
      <c r="C16" t="s">
        <v>206</v>
      </c>
      <c r="D16" t="s">
        <v>207</v>
      </c>
      <c r="E16" t="s">
        <v>208</v>
      </c>
      <c r="F16" s="16">
        <v>51</v>
      </c>
      <c r="G16" s="16">
        <v>0</v>
      </c>
      <c r="H16" s="16">
        <v>11</v>
      </c>
      <c r="I16" s="16">
        <v>0</v>
      </c>
      <c r="J16" s="16"/>
      <c r="K16" s="16">
        <v>40</v>
      </c>
      <c r="M16">
        <v>17</v>
      </c>
      <c r="N16" s="16">
        <f t="shared" si="0"/>
        <v>40</v>
      </c>
      <c r="O16" s="16">
        <f t="shared" si="1"/>
        <v>0</v>
      </c>
      <c r="P16" t="str">
        <f t="shared" si="2"/>
        <v>OK</v>
      </c>
    </row>
    <row r="17" spans="1:16" x14ac:dyDescent="0.3">
      <c r="A17" s="15">
        <v>46036</v>
      </c>
      <c r="B17" t="s">
        <v>205</v>
      </c>
      <c r="C17" t="s">
        <v>214</v>
      </c>
      <c r="D17" t="s">
        <v>207</v>
      </c>
      <c r="E17" t="s">
        <v>208</v>
      </c>
      <c r="F17" s="16">
        <v>0</v>
      </c>
      <c r="G17" s="16">
        <v>1</v>
      </c>
      <c r="H17" s="16">
        <v>1</v>
      </c>
      <c r="I17" s="16">
        <v>0</v>
      </c>
      <c r="J17" s="16"/>
      <c r="K17" s="16">
        <v>0</v>
      </c>
      <c r="M17">
        <v>18</v>
      </c>
      <c r="N17" s="16">
        <f t="shared" si="0"/>
        <v>0</v>
      </c>
      <c r="O17" s="16">
        <f t="shared" si="1"/>
        <v>0</v>
      </c>
      <c r="P17" t="str">
        <f t="shared" si="2"/>
        <v>OK</v>
      </c>
    </row>
    <row r="18" spans="1:16" x14ac:dyDescent="0.3">
      <c r="A18" s="15">
        <v>46037</v>
      </c>
      <c r="B18" t="s">
        <v>205</v>
      </c>
      <c r="C18" t="s">
        <v>206</v>
      </c>
      <c r="D18" t="s">
        <v>207</v>
      </c>
      <c r="E18" t="s">
        <v>208</v>
      </c>
      <c r="F18" s="16">
        <v>40</v>
      </c>
      <c r="G18" s="16">
        <v>110</v>
      </c>
      <c r="H18" s="16">
        <v>90</v>
      </c>
      <c r="I18" s="16">
        <v>22</v>
      </c>
      <c r="J18" s="16"/>
      <c r="K18" s="16">
        <v>38</v>
      </c>
      <c r="M18">
        <v>19</v>
      </c>
      <c r="N18" s="16">
        <f t="shared" si="0"/>
        <v>38</v>
      </c>
      <c r="O18" s="16">
        <f t="shared" si="1"/>
        <v>0</v>
      </c>
      <c r="P18" t="str">
        <f t="shared" si="2"/>
        <v>OK</v>
      </c>
    </row>
    <row r="19" spans="1:16" x14ac:dyDescent="0.3">
      <c r="A19" s="15">
        <v>46039</v>
      </c>
      <c r="B19" t="s">
        <v>205</v>
      </c>
      <c r="C19" t="s">
        <v>206</v>
      </c>
      <c r="D19" t="s">
        <v>207</v>
      </c>
      <c r="E19" t="s">
        <v>208</v>
      </c>
      <c r="F19" s="16">
        <v>38</v>
      </c>
      <c r="G19" s="16">
        <v>84</v>
      </c>
      <c r="H19" s="16">
        <v>60</v>
      </c>
      <c r="I19" s="16">
        <v>0</v>
      </c>
      <c r="J19" s="16"/>
      <c r="K19" s="16">
        <v>62</v>
      </c>
      <c r="M19">
        <v>20</v>
      </c>
      <c r="N19" s="16">
        <f t="shared" si="0"/>
        <v>62</v>
      </c>
      <c r="O19" s="16">
        <f t="shared" si="1"/>
        <v>0</v>
      </c>
      <c r="P19" t="str">
        <f t="shared" si="2"/>
        <v>OK</v>
      </c>
    </row>
    <row r="20" spans="1:16" x14ac:dyDescent="0.3">
      <c r="A20" s="15">
        <v>46039</v>
      </c>
      <c r="B20" t="s">
        <v>205</v>
      </c>
      <c r="C20" t="s">
        <v>209</v>
      </c>
      <c r="D20" t="s">
        <v>212</v>
      </c>
      <c r="E20" t="s">
        <v>213</v>
      </c>
      <c r="F20" s="16">
        <v>0</v>
      </c>
      <c r="G20" s="16">
        <v>105</v>
      </c>
      <c r="H20" s="16">
        <v>105</v>
      </c>
      <c r="I20" s="16">
        <v>0</v>
      </c>
      <c r="J20" s="16"/>
      <c r="K20" s="16">
        <v>0</v>
      </c>
      <c r="M20">
        <v>21</v>
      </c>
      <c r="N20" s="16">
        <f t="shared" si="0"/>
        <v>0</v>
      </c>
      <c r="O20" s="16">
        <f t="shared" si="1"/>
        <v>0</v>
      </c>
      <c r="P20" t="str">
        <f t="shared" si="2"/>
        <v>OK</v>
      </c>
    </row>
    <row r="21" spans="1:16" x14ac:dyDescent="0.3">
      <c r="A21" s="15">
        <v>46041</v>
      </c>
      <c r="B21" t="s">
        <v>205</v>
      </c>
      <c r="C21" t="s">
        <v>206</v>
      </c>
      <c r="D21" t="s">
        <v>207</v>
      </c>
      <c r="E21" t="s">
        <v>208</v>
      </c>
      <c r="F21" s="16">
        <v>62</v>
      </c>
      <c r="G21" s="16">
        <v>0</v>
      </c>
      <c r="H21" s="16">
        <v>25</v>
      </c>
      <c r="I21" s="16">
        <v>0</v>
      </c>
      <c r="J21" s="16"/>
      <c r="K21" s="16">
        <v>37</v>
      </c>
      <c r="M21">
        <v>22</v>
      </c>
      <c r="N21" s="16">
        <f t="shared" si="0"/>
        <v>37</v>
      </c>
      <c r="O21" s="16">
        <f t="shared" si="1"/>
        <v>0</v>
      </c>
      <c r="P21" t="str">
        <f t="shared" si="2"/>
        <v>OK</v>
      </c>
    </row>
    <row r="22" spans="1:16" x14ac:dyDescent="0.3">
      <c r="A22" s="15">
        <v>46042</v>
      </c>
      <c r="B22" t="s">
        <v>205</v>
      </c>
      <c r="C22" t="s">
        <v>206</v>
      </c>
      <c r="D22" t="s">
        <v>207</v>
      </c>
      <c r="E22" t="s">
        <v>208</v>
      </c>
      <c r="F22" s="16">
        <v>37</v>
      </c>
      <c r="G22" s="16">
        <v>84</v>
      </c>
      <c r="H22" s="16">
        <v>30</v>
      </c>
      <c r="I22" s="16">
        <v>0</v>
      </c>
      <c r="J22" s="16"/>
      <c r="K22" s="16">
        <v>91</v>
      </c>
      <c r="M22">
        <v>23</v>
      </c>
      <c r="N22" s="16">
        <f t="shared" si="0"/>
        <v>91</v>
      </c>
      <c r="O22" s="16">
        <f t="shared" si="1"/>
        <v>0</v>
      </c>
      <c r="P22" t="str">
        <f t="shared" si="2"/>
        <v>OK</v>
      </c>
    </row>
    <row r="23" spans="1:16" x14ac:dyDescent="0.3">
      <c r="A23" s="15">
        <v>46043</v>
      </c>
      <c r="B23" t="s">
        <v>205</v>
      </c>
      <c r="C23" t="s">
        <v>206</v>
      </c>
      <c r="D23" t="s">
        <v>207</v>
      </c>
      <c r="E23" t="s">
        <v>208</v>
      </c>
      <c r="F23" s="16">
        <v>91</v>
      </c>
      <c r="G23" s="16">
        <v>0</v>
      </c>
      <c r="H23" s="16">
        <v>0</v>
      </c>
      <c r="I23" s="16">
        <v>15.5</v>
      </c>
      <c r="J23" s="16"/>
      <c r="K23" s="16">
        <v>75.5</v>
      </c>
      <c r="M23">
        <v>24</v>
      </c>
      <c r="N23" s="16">
        <f t="shared" si="0"/>
        <v>75.5</v>
      </c>
      <c r="O23" s="16">
        <f t="shared" si="1"/>
        <v>0</v>
      </c>
      <c r="P23" t="str">
        <f t="shared" si="2"/>
        <v>OK</v>
      </c>
    </row>
    <row r="24" spans="1:16" x14ac:dyDescent="0.3">
      <c r="A24" s="15">
        <v>46043</v>
      </c>
      <c r="B24" t="s">
        <v>205</v>
      </c>
      <c r="C24" t="s">
        <v>209</v>
      </c>
      <c r="D24" t="s">
        <v>210</v>
      </c>
      <c r="E24" t="s">
        <v>211</v>
      </c>
      <c r="F24" s="16">
        <v>3</v>
      </c>
      <c r="G24" s="16">
        <v>4</v>
      </c>
      <c r="H24" s="16">
        <v>0</v>
      </c>
      <c r="I24" s="16">
        <v>4</v>
      </c>
      <c r="J24" s="16"/>
      <c r="K24" s="16">
        <v>3</v>
      </c>
      <c r="M24">
        <v>25</v>
      </c>
      <c r="N24" s="16">
        <f t="shared" si="0"/>
        <v>3</v>
      </c>
      <c r="O24" s="16">
        <f t="shared" si="1"/>
        <v>0</v>
      </c>
      <c r="P24" t="str">
        <f t="shared" si="2"/>
        <v>OK</v>
      </c>
    </row>
    <row r="25" spans="1:16" x14ac:dyDescent="0.3">
      <c r="A25" s="15">
        <v>46044</v>
      </c>
      <c r="B25" t="s">
        <v>205</v>
      </c>
      <c r="C25" t="s">
        <v>206</v>
      </c>
      <c r="D25" t="s">
        <v>207</v>
      </c>
      <c r="E25" t="s">
        <v>208</v>
      </c>
      <c r="F25" s="16">
        <v>75.5</v>
      </c>
      <c r="G25" s="16">
        <v>200</v>
      </c>
      <c r="H25" s="16">
        <v>105</v>
      </c>
      <c r="I25" s="16">
        <v>0</v>
      </c>
      <c r="J25" s="16"/>
      <c r="K25" s="16">
        <v>170.5</v>
      </c>
      <c r="M25">
        <v>26</v>
      </c>
      <c r="N25" s="16">
        <f t="shared" si="0"/>
        <v>170.5</v>
      </c>
      <c r="O25" s="16">
        <f t="shared" si="1"/>
        <v>0</v>
      </c>
      <c r="P25" t="str">
        <f t="shared" si="2"/>
        <v>OK</v>
      </c>
    </row>
    <row r="26" spans="1:16" x14ac:dyDescent="0.3">
      <c r="A26" s="15">
        <v>46045</v>
      </c>
      <c r="B26" t="s">
        <v>205</v>
      </c>
      <c r="C26" t="s">
        <v>206</v>
      </c>
      <c r="D26" t="s">
        <v>207</v>
      </c>
      <c r="E26" t="s">
        <v>208</v>
      </c>
      <c r="F26" s="16">
        <v>170.5</v>
      </c>
      <c r="G26" s="16">
        <v>0</v>
      </c>
      <c r="H26" s="16">
        <v>10</v>
      </c>
      <c r="I26" s="16">
        <v>0</v>
      </c>
      <c r="J26" s="16"/>
      <c r="K26" s="16">
        <v>160.5</v>
      </c>
      <c r="M26">
        <v>27</v>
      </c>
      <c r="N26" s="16">
        <f t="shared" si="0"/>
        <v>160.5</v>
      </c>
      <c r="O26" s="16">
        <f t="shared" si="1"/>
        <v>0</v>
      </c>
      <c r="P26" t="str">
        <f t="shared" si="2"/>
        <v>OK</v>
      </c>
    </row>
    <row r="27" spans="1:16" x14ac:dyDescent="0.3">
      <c r="A27" s="15">
        <v>46046</v>
      </c>
      <c r="B27" t="s">
        <v>205</v>
      </c>
      <c r="C27" t="s">
        <v>206</v>
      </c>
      <c r="D27" t="s">
        <v>207</v>
      </c>
      <c r="E27" t="s">
        <v>208</v>
      </c>
      <c r="F27" s="16">
        <v>160.5</v>
      </c>
      <c r="G27" s="16"/>
      <c r="H27" s="16">
        <v>25</v>
      </c>
      <c r="I27" s="16">
        <v>0</v>
      </c>
      <c r="J27" s="16"/>
      <c r="K27" s="16">
        <v>135.5</v>
      </c>
      <c r="M27">
        <v>28</v>
      </c>
      <c r="N27" s="16">
        <f t="shared" si="0"/>
        <v>135.5</v>
      </c>
      <c r="O27" s="16">
        <f t="shared" si="1"/>
        <v>0</v>
      </c>
      <c r="P27" t="str">
        <f t="shared" si="2"/>
        <v>OK</v>
      </c>
    </row>
    <row r="28" spans="1:16" x14ac:dyDescent="0.3">
      <c r="A28" s="15">
        <v>46046</v>
      </c>
      <c r="B28" t="s">
        <v>205</v>
      </c>
      <c r="C28" t="s">
        <v>209</v>
      </c>
      <c r="D28" t="s">
        <v>212</v>
      </c>
      <c r="E28" t="s">
        <v>213</v>
      </c>
      <c r="F28" s="16">
        <v>0</v>
      </c>
      <c r="G28" s="16">
        <v>60</v>
      </c>
      <c r="H28" s="16">
        <v>60</v>
      </c>
      <c r="I28" s="16">
        <v>0</v>
      </c>
      <c r="J28" s="16"/>
      <c r="K28" s="16">
        <v>0</v>
      </c>
      <c r="M28">
        <v>29</v>
      </c>
      <c r="N28" s="16">
        <f t="shared" si="0"/>
        <v>0</v>
      </c>
      <c r="O28" s="16">
        <f t="shared" si="1"/>
        <v>0</v>
      </c>
      <c r="P28" t="str">
        <f t="shared" si="2"/>
        <v>OK</v>
      </c>
    </row>
    <row r="29" spans="1:16" x14ac:dyDescent="0.3">
      <c r="A29" s="15">
        <v>46048</v>
      </c>
      <c r="B29" t="s">
        <v>205</v>
      </c>
      <c r="C29" t="s">
        <v>206</v>
      </c>
      <c r="D29" t="s">
        <v>207</v>
      </c>
      <c r="E29" t="s">
        <v>208</v>
      </c>
      <c r="F29" s="16">
        <v>135.5</v>
      </c>
      <c r="G29" s="16">
        <v>40.5</v>
      </c>
      <c r="H29" s="16">
        <v>140</v>
      </c>
      <c r="I29" s="16">
        <v>0</v>
      </c>
      <c r="J29" s="16"/>
      <c r="K29" s="16">
        <v>36</v>
      </c>
      <c r="M29">
        <v>30</v>
      </c>
      <c r="N29" s="16">
        <f t="shared" si="0"/>
        <v>36</v>
      </c>
      <c r="O29" s="16">
        <f t="shared" si="1"/>
        <v>0</v>
      </c>
      <c r="P29" t="str">
        <f t="shared" si="2"/>
        <v>OK</v>
      </c>
    </row>
    <row r="30" spans="1:16" x14ac:dyDescent="0.3">
      <c r="A30" s="15">
        <v>46049</v>
      </c>
      <c r="B30" t="s">
        <v>205</v>
      </c>
      <c r="C30" t="s">
        <v>206</v>
      </c>
      <c r="D30" t="s">
        <v>207</v>
      </c>
      <c r="E30" t="s">
        <v>208</v>
      </c>
      <c r="F30" s="16">
        <v>36</v>
      </c>
      <c r="G30" s="16">
        <v>125</v>
      </c>
      <c r="H30" s="16">
        <v>100</v>
      </c>
      <c r="I30" s="16">
        <v>0</v>
      </c>
      <c r="J30" s="16"/>
      <c r="K30" s="16">
        <v>61</v>
      </c>
      <c r="M30">
        <v>31</v>
      </c>
      <c r="N30" s="16">
        <f t="shared" si="0"/>
        <v>61</v>
      </c>
      <c r="O30" s="16">
        <f t="shared" si="1"/>
        <v>0</v>
      </c>
      <c r="P30" t="str">
        <f t="shared" si="2"/>
        <v>OK</v>
      </c>
    </row>
    <row r="31" spans="1:16" x14ac:dyDescent="0.3">
      <c r="A31" s="15">
        <v>46050</v>
      </c>
      <c r="B31" t="s">
        <v>205</v>
      </c>
      <c r="C31" t="s">
        <v>209</v>
      </c>
      <c r="D31" t="s">
        <v>210</v>
      </c>
      <c r="E31" t="s">
        <v>211</v>
      </c>
      <c r="F31" s="16">
        <v>3</v>
      </c>
      <c r="G31" s="16">
        <v>0</v>
      </c>
      <c r="H31" s="16">
        <v>2</v>
      </c>
      <c r="I31" s="16">
        <v>0</v>
      </c>
      <c r="J31" s="16"/>
      <c r="K31" s="16">
        <v>1</v>
      </c>
      <c r="M31">
        <v>32</v>
      </c>
      <c r="N31" s="16">
        <f t="shared" si="0"/>
        <v>1</v>
      </c>
      <c r="O31" s="16">
        <f t="shared" si="1"/>
        <v>0</v>
      </c>
      <c r="P31" t="str">
        <f t="shared" si="2"/>
        <v>OK</v>
      </c>
    </row>
    <row r="32" spans="1:16" x14ac:dyDescent="0.3">
      <c r="A32" s="15">
        <v>46051</v>
      </c>
      <c r="B32" t="s">
        <v>205</v>
      </c>
      <c r="C32" t="s">
        <v>206</v>
      </c>
      <c r="D32" t="s">
        <v>207</v>
      </c>
      <c r="E32" t="s">
        <v>208</v>
      </c>
      <c r="F32" s="16">
        <v>61</v>
      </c>
      <c r="G32" s="16">
        <v>84</v>
      </c>
      <c r="H32" s="16">
        <v>90</v>
      </c>
      <c r="I32" s="16">
        <v>0</v>
      </c>
      <c r="J32" s="16"/>
      <c r="K32" s="16">
        <v>55</v>
      </c>
      <c r="M32">
        <v>33</v>
      </c>
      <c r="N32" s="16">
        <f t="shared" si="0"/>
        <v>55</v>
      </c>
      <c r="O32" s="16">
        <f t="shared" si="1"/>
        <v>0</v>
      </c>
      <c r="P32" t="str">
        <f t="shared" si="2"/>
        <v>OK</v>
      </c>
    </row>
    <row r="33" spans="1:16" x14ac:dyDescent="0.3">
      <c r="A33" s="15">
        <v>46055</v>
      </c>
      <c r="B33" t="s">
        <v>215</v>
      </c>
      <c r="C33" t="s">
        <v>206</v>
      </c>
      <c r="D33" t="s">
        <v>207</v>
      </c>
      <c r="E33" t="s">
        <v>208</v>
      </c>
      <c r="F33" s="16">
        <v>55</v>
      </c>
      <c r="G33" s="16"/>
      <c r="H33" s="16">
        <v>19</v>
      </c>
      <c r="I33" s="16"/>
      <c r="J33" s="16"/>
      <c r="K33" s="16">
        <v>36</v>
      </c>
      <c r="M33">
        <v>35</v>
      </c>
      <c r="N33" s="16">
        <f t="shared" si="0"/>
        <v>36</v>
      </c>
      <c r="O33" s="16">
        <f t="shared" si="1"/>
        <v>0</v>
      </c>
      <c r="P33" t="str">
        <f t="shared" si="2"/>
        <v>OK</v>
      </c>
    </row>
    <row r="34" spans="1:16" x14ac:dyDescent="0.3">
      <c r="A34" s="15">
        <v>46056</v>
      </c>
      <c r="B34" t="s">
        <v>215</v>
      </c>
      <c r="C34" t="s">
        <v>206</v>
      </c>
      <c r="D34" t="s">
        <v>207</v>
      </c>
      <c r="E34" t="s">
        <v>208</v>
      </c>
      <c r="F34" s="16">
        <v>36</v>
      </c>
      <c r="G34" s="16">
        <v>150</v>
      </c>
      <c r="H34" s="16">
        <v>160</v>
      </c>
      <c r="I34" s="16">
        <v>10</v>
      </c>
      <c r="J34" s="16"/>
      <c r="K34" s="16">
        <v>16</v>
      </c>
      <c r="M34">
        <v>36</v>
      </c>
      <c r="N34" s="16">
        <f t="shared" si="0"/>
        <v>16</v>
      </c>
      <c r="O34" s="16">
        <f t="shared" si="1"/>
        <v>0</v>
      </c>
      <c r="P34" t="str">
        <f t="shared" si="2"/>
        <v>OK</v>
      </c>
    </row>
    <row r="35" spans="1:16" x14ac:dyDescent="0.3">
      <c r="A35" s="15">
        <v>46056</v>
      </c>
      <c r="B35" t="s">
        <v>215</v>
      </c>
      <c r="C35" t="s">
        <v>209</v>
      </c>
      <c r="D35" t="s">
        <v>210</v>
      </c>
      <c r="E35" t="s">
        <v>211</v>
      </c>
      <c r="F35" s="16">
        <v>1</v>
      </c>
      <c r="G35" s="16">
        <v>0</v>
      </c>
      <c r="H35" s="16">
        <v>0</v>
      </c>
      <c r="I35" s="16">
        <v>1</v>
      </c>
      <c r="J35" s="16"/>
      <c r="K35" s="16">
        <v>0</v>
      </c>
      <c r="M35">
        <v>37</v>
      </c>
      <c r="N35" s="16">
        <f t="shared" si="0"/>
        <v>0</v>
      </c>
      <c r="O35" s="16">
        <f t="shared" si="1"/>
        <v>0</v>
      </c>
      <c r="P35" t="str">
        <f t="shared" si="2"/>
        <v>OK</v>
      </c>
    </row>
    <row r="36" spans="1:16" x14ac:dyDescent="0.3">
      <c r="A36" s="15">
        <v>46057</v>
      </c>
      <c r="B36" t="s">
        <v>215</v>
      </c>
      <c r="C36" t="s">
        <v>206</v>
      </c>
      <c r="D36" t="s">
        <v>207</v>
      </c>
      <c r="E36" t="s">
        <v>208</v>
      </c>
      <c r="F36" s="16">
        <v>16</v>
      </c>
      <c r="G36" s="16">
        <v>84</v>
      </c>
      <c r="H36" s="16"/>
      <c r="I36" s="16">
        <v>41</v>
      </c>
      <c r="J36" s="16"/>
      <c r="K36" s="16">
        <v>59</v>
      </c>
      <c r="M36">
        <v>38</v>
      </c>
      <c r="N36" s="16">
        <f t="shared" si="0"/>
        <v>59</v>
      </c>
      <c r="O36" s="16">
        <f t="shared" si="1"/>
        <v>0</v>
      </c>
      <c r="P36" t="str">
        <f t="shared" si="2"/>
        <v>OK</v>
      </c>
    </row>
    <row r="37" spans="1:16" x14ac:dyDescent="0.3">
      <c r="A37" s="15">
        <v>46057</v>
      </c>
      <c r="B37" t="s">
        <v>215</v>
      </c>
      <c r="C37" t="s">
        <v>209</v>
      </c>
      <c r="D37" t="s">
        <v>210</v>
      </c>
      <c r="E37" t="s">
        <v>211</v>
      </c>
      <c r="F37" s="16">
        <v>0</v>
      </c>
      <c r="G37" s="16">
        <v>5</v>
      </c>
      <c r="H37" s="16"/>
      <c r="I37" s="16">
        <v>1</v>
      </c>
      <c r="J37" s="16"/>
      <c r="K37" s="16">
        <v>4</v>
      </c>
      <c r="M37">
        <v>39</v>
      </c>
      <c r="N37" s="16">
        <f t="shared" si="0"/>
        <v>4</v>
      </c>
      <c r="O37" s="16">
        <f t="shared" si="1"/>
        <v>0</v>
      </c>
      <c r="P37" t="str">
        <f t="shared" si="2"/>
        <v>OK</v>
      </c>
    </row>
    <row r="38" spans="1:16" x14ac:dyDescent="0.3">
      <c r="A38" s="15">
        <v>46058</v>
      </c>
      <c r="B38" t="s">
        <v>215</v>
      </c>
      <c r="C38" t="s">
        <v>206</v>
      </c>
      <c r="D38" t="s">
        <v>207</v>
      </c>
      <c r="E38" t="s">
        <v>208</v>
      </c>
      <c r="F38" s="16">
        <v>59</v>
      </c>
      <c r="G38" s="16">
        <v>0</v>
      </c>
      <c r="H38" s="16">
        <v>25</v>
      </c>
      <c r="I38" s="16">
        <v>0</v>
      </c>
      <c r="J38" s="16"/>
      <c r="K38" s="16">
        <v>34</v>
      </c>
      <c r="M38">
        <v>40</v>
      </c>
      <c r="N38" s="16">
        <f t="shared" si="0"/>
        <v>34</v>
      </c>
      <c r="O38" s="16">
        <f t="shared" si="1"/>
        <v>0</v>
      </c>
      <c r="P38" t="str">
        <f t="shared" si="2"/>
        <v>OK</v>
      </c>
    </row>
    <row r="39" spans="1:16" x14ac:dyDescent="0.3">
      <c r="A39" s="15">
        <v>46058</v>
      </c>
      <c r="B39" t="s">
        <v>215</v>
      </c>
      <c r="C39" t="s">
        <v>209</v>
      </c>
      <c r="D39" t="s">
        <v>212</v>
      </c>
      <c r="E39" t="s">
        <v>213</v>
      </c>
      <c r="F39" s="16">
        <v>0</v>
      </c>
      <c r="G39" s="16">
        <v>195</v>
      </c>
      <c r="H39" s="16">
        <v>195</v>
      </c>
      <c r="I39" s="16"/>
      <c r="J39" s="16"/>
      <c r="K39" s="16">
        <v>0</v>
      </c>
      <c r="M39">
        <v>41</v>
      </c>
      <c r="N39" s="16">
        <f t="shared" si="0"/>
        <v>0</v>
      </c>
      <c r="O39" s="16">
        <f t="shared" si="1"/>
        <v>0</v>
      </c>
      <c r="P39" t="str">
        <f t="shared" si="2"/>
        <v>OK</v>
      </c>
    </row>
    <row r="40" spans="1:16" x14ac:dyDescent="0.3">
      <c r="A40" s="15">
        <v>46059</v>
      </c>
      <c r="B40" t="s">
        <v>215</v>
      </c>
      <c r="C40" t="s">
        <v>206</v>
      </c>
      <c r="D40" t="s">
        <v>207</v>
      </c>
      <c r="E40" t="s">
        <v>208</v>
      </c>
      <c r="F40" s="16">
        <v>34</v>
      </c>
      <c r="G40" s="16">
        <v>135</v>
      </c>
      <c r="H40" s="16">
        <v>135</v>
      </c>
      <c r="I40" s="16"/>
      <c r="J40" s="16"/>
      <c r="K40" s="16">
        <v>34</v>
      </c>
      <c r="M40">
        <v>42</v>
      </c>
      <c r="N40" s="16">
        <f t="shared" si="0"/>
        <v>34</v>
      </c>
      <c r="O40" s="16">
        <f t="shared" si="1"/>
        <v>0</v>
      </c>
      <c r="P40" t="str">
        <f t="shared" si="2"/>
        <v>OK</v>
      </c>
    </row>
    <row r="41" spans="1:16" x14ac:dyDescent="0.3">
      <c r="A41" s="15">
        <v>46062</v>
      </c>
      <c r="B41" t="s">
        <v>215</v>
      </c>
      <c r="C41" t="s">
        <v>206</v>
      </c>
      <c r="D41" t="s">
        <v>207</v>
      </c>
      <c r="E41" t="s">
        <v>208</v>
      </c>
      <c r="F41" s="16">
        <v>34</v>
      </c>
      <c r="G41" s="16">
        <v>200</v>
      </c>
      <c r="H41" s="16">
        <v>154</v>
      </c>
      <c r="I41" s="16"/>
      <c r="J41" s="16"/>
      <c r="K41" s="16">
        <v>80</v>
      </c>
      <c r="M41">
        <v>43</v>
      </c>
      <c r="N41" s="16">
        <f t="shared" si="0"/>
        <v>80</v>
      </c>
      <c r="O41" s="16">
        <f t="shared" si="1"/>
        <v>0</v>
      </c>
      <c r="P41" t="str">
        <f t="shared" si="2"/>
        <v>OK</v>
      </c>
    </row>
    <row r="42" spans="1:16" x14ac:dyDescent="0.3">
      <c r="A42" s="15">
        <v>46063</v>
      </c>
      <c r="B42" t="s">
        <v>215</v>
      </c>
      <c r="C42" t="s">
        <v>206</v>
      </c>
      <c r="D42" t="s">
        <v>207</v>
      </c>
      <c r="E42" t="s">
        <v>208</v>
      </c>
      <c r="F42" s="16">
        <v>80</v>
      </c>
      <c r="G42" s="16">
        <v>0</v>
      </c>
      <c r="H42" s="16"/>
      <c r="I42" s="16">
        <v>15</v>
      </c>
      <c r="J42" s="16"/>
      <c r="K42" s="16">
        <v>65</v>
      </c>
      <c r="M42">
        <v>44</v>
      </c>
      <c r="N42" s="16">
        <f t="shared" si="0"/>
        <v>65</v>
      </c>
      <c r="O42" s="16">
        <f t="shared" si="1"/>
        <v>0</v>
      </c>
      <c r="P42" t="str">
        <f t="shared" si="2"/>
        <v>OK</v>
      </c>
    </row>
    <row r="43" spans="1:16" x14ac:dyDescent="0.3">
      <c r="A43" s="15">
        <v>46064</v>
      </c>
      <c r="B43" t="s">
        <v>215</v>
      </c>
      <c r="C43" t="s">
        <v>206</v>
      </c>
      <c r="D43" t="s">
        <v>207</v>
      </c>
      <c r="E43" t="s">
        <v>208</v>
      </c>
      <c r="F43" s="16">
        <v>65</v>
      </c>
      <c r="G43" s="16">
        <v>0</v>
      </c>
      <c r="H43" s="16"/>
      <c r="I43" s="16">
        <v>10</v>
      </c>
      <c r="J43" s="16"/>
      <c r="K43" s="16">
        <v>55</v>
      </c>
      <c r="M43">
        <v>45</v>
      </c>
      <c r="N43" s="16">
        <f t="shared" si="0"/>
        <v>55</v>
      </c>
      <c r="O43" s="16">
        <f t="shared" si="1"/>
        <v>0</v>
      </c>
      <c r="P43" t="str">
        <f t="shared" si="2"/>
        <v>OK</v>
      </c>
    </row>
    <row r="44" spans="1:16" x14ac:dyDescent="0.3">
      <c r="A44" s="15">
        <v>46065</v>
      </c>
      <c r="B44" t="s">
        <v>215</v>
      </c>
      <c r="C44" t="s">
        <v>206</v>
      </c>
      <c r="D44" t="s">
        <v>207</v>
      </c>
      <c r="E44" t="s">
        <v>208</v>
      </c>
      <c r="F44" s="16">
        <v>55</v>
      </c>
      <c r="G44" s="16">
        <v>84</v>
      </c>
      <c r="H44" s="16">
        <v>100</v>
      </c>
      <c r="I44" s="16">
        <v>18</v>
      </c>
      <c r="J44" s="16"/>
      <c r="K44" s="16">
        <v>21</v>
      </c>
      <c r="M44">
        <v>46</v>
      </c>
      <c r="N44" s="16">
        <f t="shared" si="0"/>
        <v>21</v>
      </c>
      <c r="O44" s="16">
        <f t="shared" si="1"/>
        <v>0</v>
      </c>
      <c r="P44" t="str">
        <f t="shared" si="2"/>
        <v>OK</v>
      </c>
    </row>
    <row r="45" spans="1:16" x14ac:dyDescent="0.3">
      <c r="A45" s="15">
        <v>46066</v>
      </c>
      <c r="B45" t="s">
        <v>215</v>
      </c>
      <c r="C45" t="s">
        <v>206</v>
      </c>
      <c r="D45" t="s">
        <v>207</v>
      </c>
      <c r="E45" t="s">
        <v>208</v>
      </c>
      <c r="F45" s="16">
        <v>21</v>
      </c>
      <c r="G45" s="16">
        <v>150</v>
      </c>
      <c r="H45" s="16">
        <v>145</v>
      </c>
      <c r="I45" s="16">
        <v>10</v>
      </c>
      <c r="J45" s="16"/>
      <c r="K45" s="16">
        <v>16</v>
      </c>
      <c r="M45">
        <v>47</v>
      </c>
      <c r="N45" s="16">
        <f t="shared" si="0"/>
        <v>16</v>
      </c>
      <c r="O45" s="16">
        <f t="shared" si="1"/>
        <v>0</v>
      </c>
      <c r="P45" t="str">
        <f t="shared" si="2"/>
        <v>OK</v>
      </c>
    </row>
    <row r="46" spans="1:16" x14ac:dyDescent="0.3">
      <c r="A46" s="15">
        <v>46066</v>
      </c>
      <c r="B46" t="s">
        <v>215</v>
      </c>
      <c r="C46" t="s">
        <v>209</v>
      </c>
      <c r="D46" t="s">
        <v>210</v>
      </c>
      <c r="E46" t="s">
        <v>211</v>
      </c>
      <c r="F46" s="16">
        <v>4</v>
      </c>
      <c r="G46" s="16">
        <v>0</v>
      </c>
      <c r="H46" s="16">
        <v>0</v>
      </c>
      <c r="I46" s="16">
        <v>1</v>
      </c>
      <c r="J46" s="16"/>
      <c r="K46" s="16">
        <v>3</v>
      </c>
      <c r="M46">
        <v>48</v>
      </c>
      <c r="N46" s="16">
        <f t="shared" si="0"/>
        <v>3</v>
      </c>
      <c r="O46" s="16">
        <f t="shared" si="1"/>
        <v>0</v>
      </c>
      <c r="P46" t="str">
        <f t="shared" si="2"/>
        <v>OK</v>
      </c>
    </row>
    <row r="47" spans="1:16" x14ac:dyDescent="0.3">
      <c r="A47" s="15">
        <v>46069</v>
      </c>
      <c r="B47" t="s">
        <v>215</v>
      </c>
      <c r="C47" t="s">
        <v>206</v>
      </c>
      <c r="D47" t="s">
        <v>207</v>
      </c>
      <c r="E47" t="s">
        <v>208</v>
      </c>
      <c r="F47" s="16">
        <v>16</v>
      </c>
      <c r="G47" s="16">
        <v>180</v>
      </c>
      <c r="H47" s="16">
        <v>69</v>
      </c>
      <c r="I47" s="16">
        <v>21</v>
      </c>
      <c r="J47" s="16"/>
      <c r="K47" s="16">
        <v>106</v>
      </c>
      <c r="M47">
        <v>49</v>
      </c>
      <c r="N47" s="16">
        <f t="shared" si="0"/>
        <v>106</v>
      </c>
      <c r="O47" s="16">
        <f t="shared" si="1"/>
        <v>0</v>
      </c>
      <c r="P47" t="str">
        <f t="shared" si="2"/>
        <v>OK</v>
      </c>
    </row>
    <row r="48" spans="1:16" x14ac:dyDescent="0.3">
      <c r="A48" s="15">
        <v>46069</v>
      </c>
      <c r="B48" t="s">
        <v>215</v>
      </c>
      <c r="C48" t="s">
        <v>209</v>
      </c>
      <c r="D48" t="s">
        <v>210</v>
      </c>
      <c r="E48" t="s">
        <v>211</v>
      </c>
      <c r="F48" s="16">
        <v>3</v>
      </c>
      <c r="G48" s="16"/>
      <c r="H48" s="16"/>
      <c r="I48" s="16">
        <v>1</v>
      </c>
      <c r="J48" s="16"/>
      <c r="K48" s="16">
        <v>2</v>
      </c>
      <c r="M48">
        <v>50</v>
      </c>
      <c r="N48" s="16">
        <f t="shared" si="0"/>
        <v>2</v>
      </c>
      <c r="O48" s="16">
        <f t="shared" si="1"/>
        <v>0</v>
      </c>
      <c r="P48" t="str">
        <f t="shared" si="2"/>
        <v>OK</v>
      </c>
    </row>
    <row r="49" spans="1:16" x14ac:dyDescent="0.3">
      <c r="A49" s="15">
        <v>46070</v>
      </c>
      <c r="B49" t="s">
        <v>215</v>
      </c>
      <c r="C49" t="s">
        <v>206</v>
      </c>
      <c r="D49" t="s">
        <v>207</v>
      </c>
      <c r="E49" t="s">
        <v>208</v>
      </c>
      <c r="F49" s="16">
        <v>106</v>
      </c>
      <c r="G49" s="16">
        <v>100</v>
      </c>
      <c r="H49" s="16">
        <v>180</v>
      </c>
      <c r="I49" s="16"/>
      <c r="J49" s="16"/>
      <c r="K49" s="16">
        <v>26</v>
      </c>
      <c r="M49">
        <v>51</v>
      </c>
      <c r="N49" s="16">
        <f t="shared" si="0"/>
        <v>26</v>
      </c>
      <c r="O49" s="16">
        <f t="shared" si="1"/>
        <v>0</v>
      </c>
      <c r="P49" t="str">
        <f t="shared" si="2"/>
        <v>OK</v>
      </c>
    </row>
    <row r="50" spans="1:16" x14ac:dyDescent="0.3">
      <c r="A50" s="15">
        <v>46071</v>
      </c>
      <c r="B50" t="s">
        <v>215</v>
      </c>
      <c r="C50" t="s">
        <v>206</v>
      </c>
      <c r="D50" t="s">
        <v>207</v>
      </c>
      <c r="E50" t="s">
        <v>208</v>
      </c>
      <c r="F50" s="16">
        <v>26</v>
      </c>
      <c r="G50" s="16">
        <v>120</v>
      </c>
      <c r="H50" s="16">
        <v>65</v>
      </c>
      <c r="I50" s="16"/>
      <c r="J50" s="16">
        <v>5</v>
      </c>
      <c r="K50" s="16">
        <v>81</v>
      </c>
      <c r="M50">
        <v>52</v>
      </c>
      <c r="N50" s="16">
        <f t="shared" si="0"/>
        <v>86</v>
      </c>
      <c r="O50" s="16">
        <f t="shared" si="1"/>
        <v>-5</v>
      </c>
      <c r="P50" t="str">
        <f t="shared" si="2"/>
        <v>CHECK</v>
      </c>
    </row>
    <row r="51" spans="1:16" x14ac:dyDescent="0.3">
      <c r="A51" s="15">
        <v>46072</v>
      </c>
      <c r="B51" t="s">
        <v>215</v>
      </c>
      <c r="C51" t="s">
        <v>206</v>
      </c>
      <c r="D51" t="s">
        <v>207</v>
      </c>
      <c r="E51" t="s">
        <v>208</v>
      </c>
      <c r="F51" s="16">
        <v>86</v>
      </c>
      <c r="G51" s="16"/>
      <c r="H51" s="16">
        <v>21</v>
      </c>
      <c r="I51" s="16"/>
      <c r="J51" s="16"/>
      <c r="K51" s="16">
        <v>65</v>
      </c>
      <c r="M51">
        <v>53</v>
      </c>
      <c r="N51" s="16">
        <f t="shared" si="0"/>
        <v>65</v>
      </c>
      <c r="O51" s="16">
        <f t="shared" si="1"/>
        <v>0</v>
      </c>
      <c r="P51" t="str">
        <f t="shared" si="2"/>
        <v>OK</v>
      </c>
    </row>
    <row r="52" spans="1:16" x14ac:dyDescent="0.3">
      <c r="A52" s="15">
        <v>46073</v>
      </c>
      <c r="B52" t="s">
        <v>215</v>
      </c>
      <c r="C52" t="s">
        <v>206</v>
      </c>
      <c r="D52" t="s">
        <v>207</v>
      </c>
      <c r="E52" t="s">
        <v>208</v>
      </c>
      <c r="F52" s="16">
        <v>65</v>
      </c>
      <c r="G52" s="16"/>
      <c r="H52" s="16">
        <v>10</v>
      </c>
      <c r="I52" s="16"/>
      <c r="J52" s="16"/>
      <c r="K52" s="16">
        <v>55</v>
      </c>
      <c r="M52">
        <v>54</v>
      </c>
      <c r="N52" s="16">
        <f t="shared" si="0"/>
        <v>55</v>
      </c>
      <c r="O52" s="16">
        <f t="shared" si="1"/>
        <v>0</v>
      </c>
      <c r="P52" t="str">
        <f t="shared" si="2"/>
        <v>OK</v>
      </c>
    </row>
    <row r="53" spans="1:16" x14ac:dyDescent="0.3">
      <c r="A53" s="15">
        <v>46074</v>
      </c>
      <c r="B53" t="s">
        <v>215</v>
      </c>
      <c r="C53" t="s">
        <v>206</v>
      </c>
      <c r="D53" t="s">
        <v>207</v>
      </c>
      <c r="E53" t="s">
        <v>208</v>
      </c>
      <c r="F53" s="16">
        <v>55</v>
      </c>
      <c r="G53" s="16">
        <v>200</v>
      </c>
      <c r="H53" s="16">
        <v>70</v>
      </c>
      <c r="I53" s="16"/>
      <c r="J53" s="16"/>
      <c r="K53" s="16">
        <v>185</v>
      </c>
      <c r="M53">
        <v>55</v>
      </c>
      <c r="N53" s="16">
        <f t="shared" si="0"/>
        <v>185</v>
      </c>
      <c r="O53" s="16">
        <f t="shared" si="1"/>
        <v>0</v>
      </c>
      <c r="P53" t="str">
        <f t="shared" si="2"/>
        <v>OK</v>
      </c>
    </row>
    <row r="54" spans="1:16" x14ac:dyDescent="0.3">
      <c r="A54" s="15">
        <v>46076</v>
      </c>
      <c r="B54" t="s">
        <v>215</v>
      </c>
      <c r="C54" t="s">
        <v>206</v>
      </c>
      <c r="D54" t="s">
        <v>207</v>
      </c>
      <c r="E54" t="s">
        <v>208</v>
      </c>
      <c r="F54" s="16">
        <v>185</v>
      </c>
      <c r="G54" s="16"/>
      <c r="H54" s="16"/>
      <c r="I54" s="16">
        <v>20</v>
      </c>
      <c r="J54" s="16"/>
      <c r="K54" s="16">
        <v>165</v>
      </c>
      <c r="M54">
        <v>56</v>
      </c>
      <c r="N54" s="16">
        <f t="shared" si="0"/>
        <v>165</v>
      </c>
      <c r="O54" s="16">
        <f t="shared" si="1"/>
        <v>0</v>
      </c>
      <c r="P54" t="str">
        <f t="shared" si="2"/>
        <v>OK</v>
      </c>
    </row>
    <row r="55" spans="1:16" x14ac:dyDescent="0.3">
      <c r="A55" s="15">
        <v>46077</v>
      </c>
      <c r="B55" t="s">
        <v>215</v>
      </c>
      <c r="C55" t="s">
        <v>206</v>
      </c>
      <c r="D55" t="s">
        <v>207</v>
      </c>
      <c r="E55" t="s">
        <v>208</v>
      </c>
      <c r="F55" s="16">
        <v>165</v>
      </c>
      <c r="G55" s="16"/>
      <c r="H55" s="16">
        <v>90</v>
      </c>
      <c r="I55" s="16"/>
      <c r="J55" s="16">
        <v>10</v>
      </c>
      <c r="K55" s="16">
        <v>75</v>
      </c>
      <c r="M55">
        <v>57</v>
      </c>
      <c r="N55" s="16">
        <f t="shared" si="0"/>
        <v>85</v>
      </c>
      <c r="O55" s="16">
        <f t="shared" si="1"/>
        <v>-10</v>
      </c>
      <c r="P55" t="str">
        <f t="shared" si="2"/>
        <v>CHECK</v>
      </c>
    </row>
    <row r="56" spans="1:16" x14ac:dyDescent="0.3">
      <c r="A56" s="15">
        <v>46078</v>
      </c>
      <c r="B56" t="s">
        <v>215</v>
      </c>
      <c r="C56" t="s">
        <v>206</v>
      </c>
      <c r="D56" t="s">
        <v>207</v>
      </c>
      <c r="E56" t="s">
        <v>208</v>
      </c>
      <c r="F56" s="16">
        <v>85</v>
      </c>
      <c r="G56" s="16"/>
      <c r="H56" s="16">
        <v>60</v>
      </c>
      <c r="I56" s="16"/>
      <c r="J56" s="16"/>
      <c r="K56" s="16">
        <v>25</v>
      </c>
      <c r="M56">
        <v>58</v>
      </c>
      <c r="N56" s="16">
        <f t="shared" si="0"/>
        <v>25</v>
      </c>
      <c r="O56" s="16">
        <f t="shared" si="1"/>
        <v>0</v>
      </c>
      <c r="P56" t="str">
        <f t="shared" si="2"/>
        <v>OK</v>
      </c>
    </row>
    <row r="57" spans="1:16" x14ac:dyDescent="0.3">
      <c r="A57" s="15">
        <v>46080</v>
      </c>
      <c r="B57" t="s">
        <v>215</v>
      </c>
      <c r="C57" t="s">
        <v>206</v>
      </c>
      <c r="D57" t="s">
        <v>207</v>
      </c>
      <c r="E57" t="s">
        <v>208</v>
      </c>
      <c r="F57" s="16">
        <v>25</v>
      </c>
      <c r="G57" s="16"/>
      <c r="H57" s="16"/>
      <c r="I57" s="16">
        <v>25</v>
      </c>
      <c r="J57" s="16"/>
      <c r="K57" s="16">
        <v>0</v>
      </c>
      <c r="M57">
        <v>59</v>
      </c>
      <c r="N57" s="16">
        <f t="shared" si="0"/>
        <v>0</v>
      </c>
      <c r="O57" s="16">
        <f t="shared" si="1"/>
        <v>0</v>
      </c>
      <c r="P57" t="str">
        <f t="shared" si="2"/>
        <v>OK</v>
      </c>
    </row>
    <row r="58" spans="1:16" x14ac:dyDescent="0.3">
      <c r="A58" s="15">
        <v>46080</v>
      </c>
      <c r="B58" t="s">
        <v>215</v>
      </c>
      <c r="C58" t="s">
        <v>209</v>
      </c>
      <c r="D58" t="s">
        <v>210</v>
      </c>
      <c r="E58" t="s">
        <v>211</v>
      </c>
      <c r="F58" s="16">
        <v>2</v>
      </c>
      <c r="G58" s="16"/>
      <c r="H58" s="16"/>
      <c r="I58" s="16">
        <v>1</v>
      </c>
      <c r="J58" s="16"/>
      <c r="K58" s="16">
        <v>1</v>
      </c>
      <c r="M58">
        <v>60</v>
      </c>
      <c r="N58" s="16">
        <f t="shared" si="0"/>
        <v>1</v>
      </c>
      <c r="O58" s="16">
        <f t="shared" si="1"/>
        <v>0</v>
      </c>
      <c r="P58" t="str">
        <f t="shared" si="2"/>
        <v>OK</v>
      </c>
    </row>
    <row r="59" spans="1:16" x14ac:dyDescent="0.3">
      <c r="A59" s="15">
        <v>46083</v>
      </c>
      <c r="B59" t="s">
        <v>216</v>
      </c>
      <c r="C59" t="s">
        <v>206</v>
      </c>
      <c r="D59" t="s">
        <v>207</v>
      </c>
      <c r="E59" t="s">
        <v>208</v>
      </c>
      <c r="F59" s="16">
        <v>0</v>
      </c>
      <c r="G59" s="16">
        <v>200</v>
      </c>
      <c r="H59" s="16">
        <v>44</v>
      </c>
      <c r="I59" s="16"/>
      <c r="J59" s="16"/>
      <c r="K59" s="16">
        <v>156</v>
      </c>
      <c r="M59">
        <v>62</v>
      </c>
      <c r="N59" s="16">
        <f t="shared" si="0"/>
        <v>156</v>
      </c>
      <c r="O59" s="16">
        <f t="shared" si="1"/>
        <v>0</v>
      </c>
      <c r="P59" t="str">
        <f t="shared" si="2"/>
        <v>OK</v>
      </c>
    </row>
    <row r="60" spans="1:16" x14ac:dyDescent="0.3">
      <c r="A60" s="15">
        <v>46083</v>
      </c>
      <c r="B60" t="s">
        <v>216</v>
      </c>
      <c r="C60" t="s">
        <v>209</v>
      </c>
      <c r="D60" t="s">
        <v>210</v>
      </c>
      <c r="E60" t="s">
        <v>213</v>
      </c>
      <c r="F60" s="16"/>
      <c r="G60" s="16">
        <v>120</v>
      </c>
      <c r="H60" s="16">
        <v>120</v>
      </c>
      <c r="I60" s="16"/>
      <c r="J60" s="16"/>
      <c r="K60" s="16">
        <v>0</v>
      </c>
      <c r="M60">
        <v>63</v>
      </c>
      <c r="N60" s="16">
        <f t="shared" si="0"/>
        <v>0</v>
      </c>
      <c r="O60" s="16">
        <f t="shared" si="1"/>
        <v>0</v>
      </c>
      <c r="P60" t="str">
        <f t="shared" si="2"/>
        <v>OK</v>
      </c>
    </row>
    <row r="61" spans="1:16" x14ac:dyDescent="0.3">
      <c r="A61" s="15">
        <v>46085</v>
      </c>
      <c r="B61" t="s">
        <v>216</v>
      </c>
      <c r="C61" t="s">
        <v>206</v>
      </c>
      <c r="D61" t="s">
        <v>207</v>
      </c>
      <c r="E61" t="s">
        <v>208</v>
      </c>
      <c r="F61" s="16">
        <v>156</v>
      </c>
      <c r="G61" s="16"/>
      <c r="H61" s="16">
        <v>60</v>
      </c>
      <c r="I61" s="16">
        <v>21</v>
      </c>
      <c r="J61" s="16"/>
      <c r="K61" s="16">
        <v>75</v>
      </c>
      <c r="M61">
        <v>64</v>
      </c>
      <c r="N61" s="16">
        <f t="shared" si="0"/>
        <v>75</v>
      </c>
      <c r="O61" s="16">
        <f t="shared" si="1"/>
        <v>0</v>
      </c>
      <c r="P61" t="str">
        <f t="shared" si="2"/>
        <v>OK</v>
      </c>
    </row>
    <row r="62" spans="1:16" x14ac:dyDescent="0.3">
      <c r="A62" s="15">
        <v>46085</v>
      </c>
      <c r="B62" t="s">
        <v>216</v>
      </c>
      <c r="C62" t="s">
        <v>209</v>
      </c>
      <c r="D62" t="s">
        <v>210</v>
      </c>
      <c r="E62" t="s">
        <v>211</v>
      </c>
      <c r="F62" s="16">
        <v>1</v>
      </c>
      <c r="G62" s="16"/>
      <c r="H62" s="16"/>
      <c r="I62" s="16">
        <v>1</v>
      </c>
      <c r="J62" s="16"/>
      <c r="K62" s="16">
        <v>0</v>
      </c>
      <c r="M62">
        <v>65</v>
      </c>
      <c r="N62" s="16">
        <f t="shared" si="0"/>
        <v>0</v>
      </c>
      <c r="O62" s="16">
        <f t="shared" si="1"/>
        <v>0</v>
      </c>
      <c r="P62" t="str">
        <f t="shared" si="2"/>
        <v>OK</v>
      </c>
    </row>
    <row r="63" spans="1:16" x14ac:dyDescent="0.3">
      <c r="A63" s="15">
        <v>46087</v>
      </c>
      <c r="B63" t="s">
        <v>216</v>
      </c>
      <c r="C63" t="s">
        <v>206</v>
      </c>
      <c r="D63" t="s">
        <v>207</v>
      </c>
      <c r="E63" t="s">
        <v>208</v>
      </c>
      <c r="F63" s="16">
        <v>75</v>
      </c>
      <c r="G63" s="16">
        <v>250</v>
      </c>
      <c r="H63" s="16">
        <v>180.5</v>
      </c>
      <c r="I63" s="16">
        <v>10.5</v>
      </c>
      <c r="J63" s="16"/>
      <c r="K63" s="16">
        <v>135</v>
      </c>
      <c r="M63">
        <v>66</v>
      </c>
      <c r="N63" s="16">
        <f t="shared" si="0"/>
        <v>134</v>
      </c>
      <c r="O63" s="16">
        <f t="shared" si="1"/>
        <v>1</v>
      </c>
      <c r="P63" t="str">
        <f t="shared" si="2"/>
        <v>CHECK</v>
      </c>
    </row>
    <row r="64" spans="1:16" x14ac:dyDescent="0.3">
      <c r="A64" s="15">
        <v>46088</v>
      </c>
      <c r="B64" t="s">
        <v>216</v>
      </c>
      <c r="C64" t="s">
        <v>206</v>
      </c>
      <c r="D64" t="s">
        <v>207</v>
      </c>
      <c r="E64" t="s">
        <v>208</v>
      </c>
      <c r="F64" s="16">
        <v>135</v>
      </c>
      <c r="G64" s="16"/>
      <c r="H64" s="16">
        <v>45</v>
      </c>
      <c r="I64" s="16"/>
      <c r="J64" s="16"/>
      <c r="K64" s="16">
        <v>90</v>
      </c>
      <c r="M64">
        <v>67</v>
      </c>
      <c r="N64" s="16">
        <f t="shared" si="0"/>
        <v>90</v>
      </c>
      <c r="O64" s="16">
        <f t="shared" si="1"/>
        <v>0</v>
      </c>
      <c r="P64" t="str">
        <f t="shared" si="2"/>
        <v>OK</v>
      </c>
    </row>
    <row r="65" spans="1:16" x14ac:dyDescent="0.3">
      <c r="A65" s="15">
        <v>46090</v>
      </c>
      <c r="B65" t="s">
        <v>216</v>
      </c>
      <c r="C65" t="s">
        <v>206</v>
      </c>
      <c r="D65" t="s">
        <v>207</v>
      </c>
      <c r="E65" t="s">
        <v>208</v>
      </c>
      <c r="F65" s="16">
        <v>90</v>
      </c>
      <c r="G65" s="16"/>
      <c r="H65" s="16">
        <v>44</v>
      </c>
      <c r="I65" s="16">
        <v>20</v>
      </c>
      <c r="J65" s="16"/>
      <c r="K65" s="16">
        <v>26</v>
      </c>
      <c r="M65">
        <v>68</v>
      </c>
      <c r="N65" s="16">
        <f t="shared" si="0"/>
        <v>26</v>
      </c>
      <c r="O65" s="16">
        <f t="shared" si="1"/>
        <v>0</v>
      </c>
      <c r="P65" t="str">
        <f t="shared" si="2"/>
        <v>OK</v>
      </c>
    </row>
    <row r="66" spans="1:16" x14ac:dyDescent="0.3">
      <c r="A66" s="15">
        <v>46091</v>
      </c>
      <c r="B66" t="s">
        <v>216</v>
      </c>
      <c r="C66" t="s">
        <v>206</v>
      </c>
      <c r="D66" t="s">
        <v>207</v>
      </c>
      <c r="E66" t="s">
        <v>208</v>
      </c>
      <c r="F66" s="16">
        <v>26</v>
      </c>
      <c r="G66" s="16">
        <v>250</v>
      </c>
      <c r="H66" s="16">
        <v>105</v>
      </c>
      <c r="I66" s="16"/>
      <c r="J66" s="16"/>
      <c r="K66" s="16">
        <v>171</v>
      </c>
      <c r="M66">
        <v>69</v>
      </c>
      <c r="N66" s="16">
        <f t="shared" si="0"/>
        <v>171</v>
      </c>
      <c r="O66" s="16">
        <f t="shared" si="1"/>
        <v>0</v>
      </c>
      <c r="P66" t="str">
        <f t="shared" si="2"/>
        <v>OK</v>
      </c>
    </row>
    <row r="67" spans="1:16" x14ac:dyDescent="0.3">
      <c r="A67" s="15">
        <v>46092</v>
      </c>
      <c r="B67" t="s">
        <v>216</v>
      </c>
      <c r="C67" t="s">
        <v>206</v>
      </c>
      <c r="D67" t="s">
        <v>207</v>
      </c>
      <c r="E67" t="s">
        <v>208</v>
      </c>
      <c r="F67" s="16">
        <v>171</v>
      </c>
      <c r="G67" s="16"/>
      <c r="H67" s="16">
        <v>109</v>
      </c>
      <c r="I67" s="16"/>
      <c r="J67" s="16"/>
      <c r="K67" s="16">
        <v>62</v>
      </c>
      <c r="M67">
        <v>70</v>
      </c>
      <c r="N67" s="16">
        <f t="shared" ref="N67:N130" si="3">SUM(F67,G67,J67)-SUM(H67,I67)</f>
        <v>62</v>
      </c>
      <c r="O67" s="16">
        <f t="shared" ref="O67:O130" si="4">IF(K67="","",K67-N67)</f>
        <v>0</v>
      </c>
      <c r="P67" t="str">
        <f t="shared" ref="P67:P130" si="5">IF(O67="","",IF(ABS(O67)&lt;0.001,"OK","CHECK"))</f>
        <v>OK</v>
      </c>
    </row>
    <row r="68" spans="1:16" x14ac:dyDescent="0.3">
      <c r="A68" s="15">
        <v>46094</v>
      </c>
      <c r="B68" t="s">
        <v>216</v>
      </c>
      <c r="C68" t="s">
        <v>206</v>
      </c>
      <c r="D68" t="s">
        <v>207</v>
      </c>
      <c r="E68" t="s">
        <v>208</v>
      </c>
      <c r="F68" s="16">
        <v>62</v>
      </c>
      <c r="G68" s="16"/>
      <c r="H68" s="16">
        <v>60</v>
      </c>
      <c r="I68" s="16"/>
      <c r="J68" s="16"/>
      <c r="K68" s="16">
        <v>2</v>
      </c>
      <c r="M68">
        <v>71</v>
      </c>
      <c r="N68" s="16">
        <f t="shared" si="3"/>
        <v>2</v>
      </c>
      <c r="O68" s="16">
        <f t="shared" si="4"/>
        <v>0</v>
      </c>
      <c r="P68" t="str">
        <f t="shared" si="5"/>
        <v>OK</v>
      </c>
    </row>
    <row r="69" spans="1:16" x14ac:dyDescent="0.3">
      <c r="A69" s="15">
        <v>46097</v>
      </c>
      <c r="B69" t="s">
        <v>216</v>
      </c>
      <c r="C69" t="s">
        <v>206</v>
      </c>
      <c r="D69" t="s">
        <v>207</v>
      </c>
      <c r="E69" t="s">
        <v>208</v>
      </c>
      <c r="F69" s="16">
        <v>2</v>
      </c>
      <c r="G69" s="16">
        <v>250.5</v>
      </c>
      <c r="H69" s="16"/>
      <c r="I69" s="16">
        <v>16.5</v>
      </c>
      <c r="J69" s="16"/>
      <c r="K69" s="16">
        <v>236</v>
      </c>
      <c r="M69">
        <v>72</v>
      </c>
      <c r="N69" s="16">
        <f t="shared" si="3"/>
        <v>236</v>
      </c>
      <c r="O69" s="16">
        <f t="shared" si="4"/>
        <v>0</v>
      </c>
      <c r="P69" t="str">
        <f t="shared" si="5"/>
        <v>OK</v>
      </c>
    </row>
    <row r="70" spans="1:16" x14ac:dyDescent="0.3">
      <c r="A70" s="15">
        <v>46097</v>
      </c>
      <c r="B70" t="s">
        <v>216</v>
      </c>
      <c r="C70" t="s">
        <v>209</v>
      </c>
      <c r="D70" t="s">
        <v>210</v>
      </c>
      <c r="E70" t="s">
        <v>211</v>
      </c>
      <c r="F70" s="16"/>
      <c r="G70" s="16">
        <v>10</v>
      </c>
      <c r="H70" s="16"/>
      <c r="I70" s="16">
        <v>2</v>
      </c>
      <c r="J70" s="16"/>
      <c r="K70" s="16">
        <v>8</v>
      </c>
      <c r="M70">
        <v>73</v>
      </c>
      <c r="N70" s="16">
        <f t="shared" si="3"/>
        <v>8</v>
      </c>
      <c r="O70" s="16">
        <f t="shared" si="4"/>
        <v>0</v>
      </c>
      <c r="P70" t="str">
        <f t="shared" si="5"/>
        <v>OK</v>
      </c>
    </row>
    <row r="71" spans="1:16" x14ac:dyDescent="0.3">
      <c r="A71" s="15">
        <v>46098</v>
      </c>
      <c r="B71" t="s">
        <v>216</v>
      </c>
      <c r="C71" t="s">
        <v>206</v>
      </c>
      <c r="D71" t="s">
        <v>207</v>
      </c>
      <c r="E71" t="s">
        <v>208</v>
      </c>
      <c r="F71" s="16">
        <v>236</v>
      </c>
      <c r="G71" s="16"/>
      <c r="H71" s="16">
        <v>141</v>
      </c>
      <c r="I71" s="16">
        <v>6</v>
      </c>
      <c r="J71" s="16"/>
      <c r="K71" s="16">
        <v>89</v>
      </c>
      <c r="M71">
        <v>74</v>
      </c>
      <c r="N71" s="16">
        <f t="shared" si="3"/>
        <v>89</v>
      </c>
      <c r="O71" s="16">
        <f t="shared" si="4"/>
        <v>0</v>
      </c>
      <c r="P71" t="str">
        <f t="shared" si="5"/>
        <v>OK</v>
      </c>
    </row>
    <row r="72" spans="1:16" x14ac:dyDescent="0.3">
      <c r="A72" s="15">
        <v>46100</v>
      </c>
      <c r="B72" t="s">
        <v>216</v>
      </c>
      <c r="C72" t="s">
        <v>206</v>
      </c>
      <c r="D72" t="s">
        <v>207</v>
      </c>
      <c r="E72" t="s">
        <v>208</v>
      </c>
      <c r="F72" s="16">
        <v>89</v>
      </c>
      <c r="G72" s="16"/>
      <c r="H72" s="16">
        <v>70</v>
      </c>
      <c r="I72" s="16"/>
      <c r="J72" s="16"/>
      <c r="K72" s="16">
        <v>19</v>
      </c>
      <c r="M72">
        <v>75</v>
      </c>
      <c r="N72" s="16">
        <f t="shared" si="3"/>
        <v>19</v>
      </c>
      <c r="O72" s="16">
        <f t="shared" si="4"/>
        <v>0</v>
      </c>
      <c r="P72" t="str">
        <f t="shared" si="5"/>
        <v>OK</v>
      </c>
    </row>
    <row r="73" spans="1:16" x14ac:dyDescent="0.3">
      <c r="A73" s="15">
        <v>46102</v>
      </c>
      <c r="B73" t="s">
        <v>216</v>
      </c>
      <c r="C73" t="s">
        <v>206</v>
      </c>
      <c r="D73" t="s">
        <v>207</v>
      </c>
      <c r="E73" t="s">
        <v>208</v>
      </c>
      <c r="F73" s="16">
        <v>19</v>
      </c>
      <c r="G73" s="16">
        <v>205</v>
      </c>
      <c r="H73" s="16"/>
      <c r="I73" s="16">
        <v>20</v>
      </c>
      <c r="J73" s="16"/>
      <c r="K73" s="16">
        <v>204</v>
      </c>
      <c r="M73">
        <v>76</v>
      </c>
      <c r="N73" s="16">
        <f t="shared" si="3"/>
        <v>204</v>
      </c>
      <c r="O73" s="16">
        <f t="shared" si="4"/>
        <v>0</v>
      </c>
      <c r="P73" t="str">
        <f t="shared" si="5"/>
        <v>OK</v>
      </c>
    </row>
    <row r="74" spans="1:16" x14ac:dyDescent="0.3">
      <c r="A74" s="15">
        <v>46104</v>
      </c>
      <c r="B74" t="s">
        <v>216</v>
      </c>
      <c r="C74" t="s">
        <v>206</v>
      </c>
      <c r="D74" t="s">
        <v>207</v>
      </c>
      <c r="E74" t="s">
        <v>208</v>
      </c>
      <c r="F74" s="16">
        <v>204</v>
      </c>
      <c r="G74" s="16"/>
      <c r="H74" s="16">
        <v>19</v>
      </c>
      <c r="I74" s="16"/>
      <c r="J74" s="16"/>
      <c r="K74" s="16">
        <v>185</v>
      </c>
      <c r="M74">
        <v>77</v>
      </c>
      <c r="N74" s="16">
        <f t="shared" si="3"/>
        <v>185</v>
      </c>
      <c r="O74" s="16">
        <f t="shared" si="4"/>
        <v>0</v>
      </c>
      <c r="P74" t="str">
        <f t="shared" si="5"/>
        <v>OK</v>
      </c>
    </row>
    <row r="75" spans="1:16" x14ac:dyDescent="0.3">
      <c r="A75" s="15">
        <v>46105</v>
      </c>
      <c r="B75" t="s">
        <v>216</v>
      </c>
      <c r="C75" t="s">
        <v>206</v>
      </c>
      <c r="D75" t="s">
        <v>207</v>
      </c>
      <c r="E75" t="s">
        <v>208</v>
      </c>
      <c r="F75" s="16">
        <v>185</v>
      </c>
      <c r="G75" s="16"/>
      <c r="H75" s="16">
        <v>90</v>
      </c>
      <c r="I75" s="16"/>
      <c r="J75" s="16"/>
      <c r="K75" s="16">
        <v>95</v>
      </c>
      <c r="M75">
        <v>78</v>
      </c>
      <c r="N75" s="16">
        <f t="shared" si="3"/>
        <v>95</v>
      </c>
      <c r="O75" s="16">
        <f t="shared" si="4"/>
        <v>0</v>
      </c>
      <c r="P75" t="str">
        <f t="shared" si="5"/>
        <v>OK</v>
      </c>
    </row>
    <row r="76" spans="1:16" x14ac:dyDescent="0.3">
      <c r="A76" s="15">
        <v>46106</v>
      </c>
      <c r="B76" t="s">
        <v>216</v>
      </c>
      <c r="C76" t="s">
        <v>206</v>
      </c>
      <c r="D76" t="s">
        <v>207</v>
      </c>
      <c r="E76" t="s">
        <v>208</v>
      </c>
      <c r="F76" s="16">
        <v>95</v>
      </c>
      <c r="G76" s="16"/>
      <c r="H76" s="16">
        <v>50</v>
      </c>
      <c r="I76" s="16"/>
      <c r="J76" s="16"/>
      <c r="K76" s="16">
        <v>45</v>
      </c>
      <c r="M76">
        <v>79</v>
      </c>
      <c r="N76" s="16">
        <f t="shared" si="3"/>
        <v>45</v>
      </c>
      <c r="O76" s="16">
        <f t="shared" si="4"/>
        <v>0</v>
      </c>
      <c r="P76" t="str">
        <f t="shared" si="5"/>
        <v>OK</v>
      </c>
    </row>
    <row r="77" spans="1:16" x14ac:dyDescent="0.3">
      <c r="A77" s="15">
        <v>46106</v>
      </c>
      <c r="B77" t="s">
        <v>216</v>
      </c>
      <c r="C77" t="s">
        <v>209</v>
      </c>
      <c r="D77" t="s">
        <v>210</v>
      </c>
      <c r="E77" t="s">
        <v>211</v>
      </c>
      <c r="F77" s="16">
        <v>8</v>
      </c>
      <c r="G77" s="16"/>
      <c r="H77" s="16"/>
      <c r="I77" s="16">
        <v>1</v>
      </c>
      <c r="J77" s="16"/>
      <c r="K77" s="16">
        <v>7</v>
      </c>
      <c r="M77">
        <v>80</v>
      </c>
      <c r="N77" s="16">
        <f t="shared" si="3"/>
        <v>7</v>
      </c>
      <c r="O77" s="16">
        <f t="shared" si="4"/>
        <v>0</v>
      </c>
      <c r="P77" t="str">
        <f t="shared" si="5"/>
        <v>OK</v>
      </c>
    </row>
    <row r="78" spans="1:16" x14ac:dyDescent="0.3">
      <c r="A78" s="15">
        <v>46108</v>
      </c>
      <c r="B78" t="s">
        <v>216</v>
      </c>
      <c r="C78" t="s">
        <v>206</v>
      </c>
      <c r="D78" t="s">
        <v>207</v>
      </c>
      <c r="E78" t="s">
        <v>208</v>
      </c>
      <c r="F78" s="16">
        <v>45</v>
      </c>
      <c r="G78" s="16"/>
      <c r="H78" s="16">
        <v>20</v>
      </c>
      <c r="I78" s="16"/>
      <c r="J78" s="16"/>
      <c r="K78" s="16">
        <v>25</v>
      </c>
      <c r="M78">
        <v>81</v>
      </c>
      <c r="N78" s="16">
        <f t="shared" si="3"/>
        <v>25</v>
      </c>
      <c r="O78" s="16">
        <f t="shared" si="4"/>
        <v>0</v>
      </c>
      <c r="P78" t="str">
        <f t="shared" si="5"/>
        <v>OK</v>
      </c>
    </row>
    <row r="79" spans="1:16" x14ac:dyDescent="0.3">
      <c r="A79" s="15">
        <v>46109</v>
      </c>
      <c r="B79" t="s">
        <v>216</v>
      </c>
      <c r="C79" t="s">
        <v>206</v>
      </c>
      <c r="D79" t="s">
        <v>207</v>
      </c>
      <c r="E79" t="s">
        <v>208</v>
      </c>
      <c r="F79" s="16">
        <v>25</v>
      </c>
      <c r="G79" s="16"/>
      <c r="H79" s="16">
        <v>10</v>
      </c>
      <c r="I79" s="16">
        <v>1</v>
      </c>
      <c r="J79" s="16"/>
      <c r="K79" s="16">
        <v>14</v>
      </c>
      <c r="M79">
        <v>82</v>
      </c>
      <c r="N79" s="16">
        <f t="shared" si="3"/>
        <v>14</v>
      </c>
      <c r="O79" s="16">
        <f t="shared" si="4"/>
        <v>0</v>
      </c>
      <c r="P79" t="str">
        <f t="shared" si="5"/>
        <v>OK</v>
      </c>
    </row>
    <row r="80" spans="1:16" x14ac:dyDescent="0.3">
      <c r="A80" s="15">
        <v>46109</v>
      </c>
      <c r="B80" t="s">
        <v>216</v>
      </c>
      <c r="C80" t="s">
        <v>209</v>
      </c>
      <c r="D80" t="s">
        <v>212</v>
      </c>
      <c r="E80" t="s">
        <v>213</v>
      </c>
      <c r="F80" s="16">
        <v>0</v>
      </c>
      <c r="G80" s="16">
        <v>75</v>
      </c>
      <c r="H80" s="16">
        <v>75</v>
      </c>
      <c r="I80" s="16"/>
      <c r="J80" s="16"/>
      <c r="K80" s="16">
        <v>0</v>
      </c>
      <c r="M80">
        <v>83</v>
      </c>
      <c r="N80" s="16">
        <f t="shared" si="3"/>
        <v>0</v>
      </c>
      <c r="O80" s="16">
        <f t="shared" si="4"/>
        <v>0</v>
      </c>
      <c r="P80" t="str">
        <f t="shared" si="5"/>
        <v>OK</v>
      </c>
    </row>
    <row r="81" spans="1:16" x14ac:dyDescent="0.3">
      <c r="A81" s="15">
        <v>46111</v>
      </c>
      <c r="B81" t="s">
        <v>216</v>
      </c>
      <c r="C81" t="s">
        <v>206</v>
      </c>
      <c r="D81" t="s">
        <v>207</v>
      </c>
      <c r="E81" t="s">
        <v>208</v>
      </c>
      <c r="F81" s="16">
        <v>14</v>
      </c>
      <c r="G81" s="16">
        <v>150</v>
      </c>
      <c r="H81" s="16">
        <v>51</v>
      </c>
      <c r="I81" s="16"/>
      <c r="J81" s="16"/>
      <c r="K81" s="16">
        <v>113</v>
      </c>
      <c r="M81">
        <v>84</v>
      </c>
      <c r="N81" s="16">
        <f t="shared" si="3"/>
        <v>113</v>
      </c>
      <c r="O81" s="16">
        <f t="shared" si="4"/>
        <v>0</v>
      </c>
      <c r="P81" t="str">
        <f t="shared" si="5"/>
        <v>OK</v>
      </c>
    </row>
    <row r="82" spans="1:16" x14ac:dyDescent="0.3">
      <c r="A82" s="15">
        <v>46112</v>
      </c>
      <c r="B82" t="s">
        <v>216</v>
      </c>
      <c r="C82" t="s">
        <v>206</v>
      </c>
      <c r="D82" t="s">
        <v>207</v>
      </c>
      <c r="E82" t="s">
        <v>208</v>
      </c>
      <c r="F82" s="16">
        <v>113</v>
      </c>
      <c r="G82" s="16"/>
      <c r="H82" s="16">
        <v>73</v>
      </c>
      <c r="I82" s="16"/>
      <c r="J82" s="16"/>
      <c r="K82" s="16">
        <v>40</v>
      </c>
      <c r="M82">
        <v>85</v>
      </c>
      <c r="N82" s="16">
        <f t="shared" si="3"/>
        <v>40</v>
      </c>
      <c r="O82" s="16">
        <f t="shared" si="4"/>
        <v>0</v>
      </c>
      <c r="P82" t="str">
        <f t="shared" si="5"/>
        <v>OK</v>
      </c>
    </row>
    <row r="83" spans="1:16" x14ac:dyDescent="0.3">
      <c r="A83" s="15">
        <v>46113</v>
      </c>
      <c r="B83" t="s">
        <v>217</v>
      </c>
      <c r="C83" t="s">
        <v>209</v>
      </c>
      <c r="D83" t="s">
        <v>210</v>
      </c>
      <c r="E83" t="s">
        <v>211</v>
      </c>
      <c r="F83" s="16">
        <v>7</v>
      </c>
      <c r="G83" s="16"/>
      <c r="H83" s="16"/>
      <c r="I83" s="16">
        <v>1</v>
      </c>
      <c r="J83" s="16"/>
      <c r="K83" s="16">
        <v>6</v>
      </c>
      <c r="M83">
        <v>87</v>
      </c>
      <c r="N83" s="16">
        <f t="shared" si="3"/>
        <v>6</v>
      </c>
      <c r="O83" s="16">
        <f t="shared" si="4"/>
        <v>0</v>
      </c>
      <c r="P83" t="str">
        <f t="shared" si="5"/>
        <v>OK</v>
      </c>
    </row>
    <row r="84" spans="1:16" x14ac:dyDescent="0.3">
      <c r="A84" s="15">
        <v>46114</v>
      </c>
      <c r="B84" t="s">
        <v>217</v>
      </c>
      <c r="C84" t="s">
        <v>206</v>
      </c>
      <c r="D84" t="s">
        <v>207</v>
      </c>
      <c r="E84" t="s">
        <v>208</v>
      </c>
      <c r="F84" s="16">
        <v>40</v>
      </c>
      <c r="G84" s="16">
        <v>200</v>
      </c>
      <c r="H84" s="16">
        <v>170</v>
      </c>
      <c r="I84" s="16"/>
      <c r="J84" s="16"/>
      <c r="K84" s="16">
        <v>70</v>
      </c>
      <c r="M84">
        <v>88</v>
      </c>
      <c r="N84" s="16">
        <f t="shared" si="3"/>
        <v>70</v>
      </c>
      <c r="O84" s="16">
        <f t="shared" si="4"/>
        <v>0</v>
      </c>
      <c r="P84" t="str">
        <f t="shared" si="5"/>
        <v>OK</v>
      </c>
    </row>
    <row r="85" spans="1:16" x14ac:dyDescent="0.3">
      <c r="A85" s="15">
        <v>46114</v>
      </c>
      <c r="B85" t="s">
        <v>217</v>
      </c>
      <c r="C85" t="s">
        <v>209</v>
      </c>
      <c r="D85" t="s">
        <v>212</v>
      </c>
      <c r="E85" t="s">
        <v>213</v>
      </c>
      <c r="F85" s="16"/>
      <c r="G85" s="16">
        <v>500</v>
      </c>
      <c r="H85" s="16">
        <v>500</v>
      </c>
      <c r="I85" s="16"/>
      <c r="J85" s="16"/>
      <c r="K85" s="16">
        <v>0</v>
      </c>
      <c r="M85">
        <v>89</v>
      </c>
      <c r="N85" s="16">
        <f t="shared" si="3"/>
        <v>0</v>
      </c>
      <c r="O85" s="16">
        <f t="shared" si="4"/>
        <v>0</v>
      </c>
      <c r="P85" t="str">
        <f t="shared" si="5"/>
        <v>OK</v>
      </c>
    </row>
    <row r="86" spans="1:16" x14ac:dyDescent="0.3">
      <c r="A86" s="15">
        <v>46115</v>
      </c>
      <c r="B86" t="s">
        <v>217</v>
      </c>
      <c r="C86" t="s">
        <v>206</v>
      </c>
      <c r="D86" t="s">
        <v>207</v>
      </c>
      <c r="E86" t="s">
        <v>208</v>
      </c>
      <c r="F86" s="16">
        <v>70</v>
      </c>
      <c r="G86" s="16"/>
      <c r="H86" s="16">
        <v>70</v>
      </c>
      <c r="I86" s="16"/>
      <c r="J86" s="16"/>
      <c r="K86" s="16">
        <v>0</v>
      </c>
      <c r="M86">
        <v>90</v>
      </c>
      <c r="N86" s="16">
        <f t="shared" si="3"/>
        <v>0</v>
      </c>
      <c r="O86" s="16">
        <f t="shared" si="4"/>
        <v>0</v>
      </c>
      <c r="P86" t="str">
        <f t="shared" si="5"/>
        <v>OK</v>
      </c>
    </row>
    <row r="87" spans="1:16" x14ac:dyDescent="0.3">
      <c r="A87" s="15">
        <v>46116</v>
      </c>
      <c r="B87" t="s">
        <v>217</v>
      </c>
      <c r="C87" t="s">
        <v>206</v>
      </c>
      <c r="D87" t="s">
        <v>207</v>
      </c>
      <c r="E87" t="s">
        <v>208</v>
      </c>
      <c r="F87" s="16">
        <v>0</v>
      </c>
      <c r="G87" s="16">
        <v>150</v>
      </c>
      <c r="H87" s="16">
        <v>75</v>
      </c>
      <c r="I87" s="16"/>
      <c r="J87" s="16"/>
      <c r="K87" s="16">
        <v>75</v>
      </c>
      <c r="M87">
        <v>91</v>
      </c>
      <c r="N87" s="16">
        <f t="shared" si="3"/>
        <v>75</v>
      </c>
      <c r="O87" s="16">
        <f t="shared" si="4"/>
        <v>0</v>
      </c>
      <c r="P87" t="str">
        <f t="shared" si="5"/>
        <v>OK</v>
      </c>
    </row>
    <row r="88" spans="1:16" x14ac:dyDescent="0.3">
      <c r="A88" s="15">
        <v>46116</v>
      </c>
      <c r="B88" t="s">
        <v>217</v>
      </c>
      <c r="C88" t="s">
        <v>209</v>
      </c>
      <c r="D88" t="s">
        <v>210</v>
      </c>
      <c r="E88" t="s">
        <v>211</v>
      </c>
      <c r="F88" s="16">
        <v>6</v>
      </c>
      <c r="G88" s="16"/>
      <c r="H88" s="16"/>
      <c r="I88" s="16">
        <v>1</v>
      </c>
      <c r="J88" s="16"/>
      <c r="K88" s="16">
        <v>5</v>
      </c>
      <c r="M88">
        <v>92</v>
      </c>
      <c r="N88" s="16">
        <f t="shared" si="3"/>
        <v>5</v>
      </c>
      <c r="O88" s="16">
        <f t="shared" si="4"/>
        <v>0</v>
      </c>
      <c r="P88" t="str">
        <f t="shared" si="5"/>
        <v>OK</v>
      </c>
    </row>
    <row r="89" spans="1:16" x14ac:dyDescent="0.3">
      <c r="A89" s="15">
        <v>46118</v>
      </c>
      <c r="B89" t="s">
        <v>217</v>
      </c>
      <c r="C89" t="s">
        <v>206</v>
      </c>
      <c r="D89" t="s">
        <v>207</v>
      </c>
      <c r="E89" t="s">
        <v>208</v>
      </c>
      <c r="F89" s="16">
        <v>75</v>
      </c>
      <c r="G89" s="16">
        <v>200</v>
      </c>
      <c r="H89" s="16">
        <v>107</v>
      </c>
      <c r="I89" s="16">
        <v>5</v>
      </c>
      <c r="J89" s="16"/>
      <c r="K89" s="16">
        <v>163</v>
      </c>
      <c r="M89">
        <v>93</v>
      </c>
      <c r="N89" s="16">
        <f t="shared" si="3"/>
        <v>163</v>
      </c>
      <c r="O89" s="16">
        <f t="shared" si="4"/>
        <v>0</v>
      </c>
      <c r="P89" t="str">
        <f t="shared" si="5"/>
        <v>OK</v>
      </c>
    </row>
    <row r="90" spans="1:16" x14ac:dyDescent="0.3">
      <c r="A90" s="15">
        <v>46120</v>
      </c>
      <c r="B90" t="s">
        <v>217</v>
      </c>
      <c r="C90" t="s">
        <v>206</v>
      </c>
      <c r="D90" t="s">
        <v>207</v>
      </c>
      <c r="E90" t="s">
        <v>208</v>
      </c>
      <c r="F90" s="16">
        <v>163</v>
      </c>
      <c r="G90" s="16"/>
      <c r="H90" s="16">
        <v>130</v>
      </c>
      <c r="I90" s="16">
        <v>1</v>
      </c>
      <c r="J90" s="16"/>
      <c r="K90" s="16">
        <v>32</v>
      </c>
      <c r="M90">
        <v>94</v>
      </c>
      <c r="N90" s="16">
        <f t="shared" si="3"/>
        <v>32</v>
      </c>
      <c r="O90" s="16">
        <f t="shared" si="4"/>
        <v>0</v>
      </c>
      <c r="P90" t="str">
        <f t="shared" si="5"/>
        <v>OK</v>
      </c>
    </row>
    <row r="91" spans="1:16" x14ac:dyDescent="0.3">
      <c r="A91" s="15">
        <v>46121</v>
      </c>
      <c r="B91" t="s">
        <v>217</v>
      </c>
      <c r="C91" t="s">
        <v>206</v>
      </c>
      <c r="D91" t="s">
        <v>207</v>
      </c>
      <c r="E91" t="s">
        <v>208</v>
      </c>
      <c r="F91" s="16">
        <v>32</v>
      </c>
      <c r="G91" s="16">
        <v>150</v>
      </c>
      <c r="H91" s="16">
        <v>82</v>
      </c>
      <c r="I91" s="16">
        <v>25</v>
      </c>
      <c r="J91" s="16">
        <v>10</v>
      </c>
      <c r="K91" s="16">
        <v>75</v>
      </c>
      <c r="M91">
        <v>95</v>
      </c>
      <c r="N91" s="16">
        <f t="shared" si="3"/>
        <v>85</v>
      </c>
      <c r="O91" s="16">
        <f t="shared" si="4"/>
        <v>-10</v>
      </c>
      <c r="P91" t="str">
        <f t="shared" si="5"/>
        <v>CHECK</v>
      </c>
    </row>
    <row r="92" spans="1:16" x14ac:dyDescent="0.3">
      <c r="A92" s="15">
        <v>46122</v>
      </c>
      <c r="B92" t="s">
        <v>217</v>
      </c>
      <c r="C92" t="s">
        <v>206</v>
      </c>
      <c r="D92" t="s">
        <v>207</v>
      </c>
      <c r="E92" t="s">
        <v>208</v>
      </c>
      <c r="F92" s="16">
        <v>85</v>
      </c>
      <c r="G92" s="16">
        <v>180</v>
      </c>
      <c r="H92" s="16">
        <v>81</v>
      </c>
      <c r="I92" s="16">
        <v>3</v>
      </c>
      <c r="J92" s="16"/>
      <c r="K92" s="16">
        <v>181</v>
      </c>
      <c r="M92">
        <v>96</v>
      </c>
      <c r="N92" s="16">
        <f t="shared" si="3"/>
        <v>181</v>
      </c>
      <c r="O92" s="16">
        <f t="shared" si="4"/>
        <v>0</v>
      </c>
      <c r="P92" t="str">
        <f t="shared" si="5"/>
        <v>OK</v>
      </c>
    </row>
    <row r="93" spans="1:16" x14ac:dyDescent="0.3">
      <c r="A93" s="15">
        <v>46122</v>
      </c>
      <c r="B93" t="s">
        <v>217</v>
      </c>
      <c r="C93" t="s">
        <v>209</v>
      </c>
      <c r="D93" t="s">
        <v>210</v>
      </c>
      <c r="E93" t="s">
        <v>211</v>
      </c>
      <c r="F93" s="16">
        <v>5</v>
      </c>
      <c r="G93" s="16"/>
      <c r="H93" s="16">
        <v>1</v>
      </c>
      <c r="I93" s="16"/>
      <c r="J93" s="16"/>
      <c r="K93" s="16">
        <v>4</v>
      </c>
      <c r="M93">
        <v>97</v>
      </c>
      <c r="N93" s="16">
        <f t="shared" si="3"/>
        <v>4</v>
      </c>
      <c r="O93" s="16">
        <f t="shared" si="4"/>
        <v>0</v>
      </c>
      <c r="P93" t="str">
        <f t="shared" si="5"/>
        <v>OK</v>
      </c>
    </row>
    <row r="94" spans="1:16" x14ac:dyDescent="0.3">
      <c r="A94" s="15">
        <v>46123</v>
      </c>
      <c r="B94" t="s">
        <v>217</v>
      </c>
      <c r="C94" t="s">
        <v>206</v>
      </c>
      <c r="D94" t="s">
        <v>207</v>
      </c>
      <c r="E94" t="s">
        <v>208</v>
      </c>
      <c r="F94" s="16">
        <v>181</v>
      </c>
      <c r="G94" s="16"/>
      <c r="H94" s="16">
        <v>1</v>
      </c>
      <c r="I94" s="16">
        <v>5</v>
      </c>
      <c r="J94" s="16"/>
      <c r="K94" s="16">
        <v>175</v>
      </c>
      <c r="M94">
        <v>98</v>
      </c>
      <c r="N94" s="16">
        <f t="shared" si="3"/>
        <v>175</v>
      </c>
      <c r="O94" s="16">
        <f t="shared" si="4"/>
        <v>0</v>
      </c>
      <c r="P94" t="str">
        <f t="shared" si="5"/>
        <v>OK</v>
      </c>
    </row>
    <row r="95" spans="1:16" x14ac:dyDescent="0.3">
      <c r="A95" s="15">
        <v>46126</v>
      </c>
      <c r="B95" t="s">
        <v>217</v>
      </c>
      <c r="C95" t="s">
        <v>206</v>
      </c>
      <c r="D95" t="s">
        <v>207</v>
      </c>
      <c r="E95" t="s">
        <v>208</v>
      </c>
      <c r="F95" s="16">
        <v>175</v>
      </c>
      <c r="G95" s="16"/>
      <c r="H95" s="16">
        <v>120</v>
      </c>
      <c r="I95" s="16"/>
      <c r="J95" s="16"/>
      <c r="K95" s="16">
        <v>55</v>
      </c>
      <c r="M95">
        <v>99</v>
      </c>
      <c r="N95" s="16">
        <f t="shared" si="3"/>
        <v>55</v>
      </c>
      <c r="O95" s="16">
        <f t="shared" si="4"/>
        <v>0</v>
      </c>
      <c r="P95" t="str">
        <f t="shared" si="5"/>
        <v>OK</v>
      </c>
    </row>
    <row r="96" spans="1:16" x14ac:dyDescent="0.3">
      <c r="A96" s="15">
        <v>46127</v>
      </c>
      <c r="B96" t="s">
        <v>217</v>
      </c>
      <c r="C96" t="s">
        <v>206</v>
      </c>
      <c r="D96" t="s">
        <v>207</v>
      </c>
      <c r="E96" t="s">
        <v>208</v>
      </c>
      <c r="F96" s="16">
        <v>55</v>
      </c>
      <c r="G96" s="16"/>
      <c r="H96" s="16">
        <v>10</v>
      </c>
      <c r="I96" s="16">
        <v>20</v>
      </c>
      <c r="J96" s="16"/>
      <c r="K96" s="16">
        <v>25</v>
      </c>
      <c r="M96">
        <v>100</v>
      </c>
      <c r="N96" s="16">
        <f t="shared" si="3"/>
        <v>25</v>
      </c>
      <c r="O96" s="16">
        <f t="shared" si="4"/>
        <v>0</v>
      </c>
      <c r="P96" t="str">
        <f t="shared" si="5"/>
        <v>OK</v>
      </c>
    </row>
    <row r="97" spans="1:16" x14ac:dyDescent="0.3">
      <c r="A97" s="15">
        <v>46127</v>
      </c>
      <c r="B97" t="s">
        <v>217</v>
      </c>
      <c r="C97" t="s">
        <v>218</v>
      </c>
      <c r="D97" t="s">
        <v>207</v>
      </c>
      <c r="E97" t="s">
        <v>208</v>
      </c>
      <c r="F97" s="16">
        <v>0</v>
      </c>
      <c r="G97" s="16">
        <v>10</v>
      </c>
      <c r="H97" s="16">
        <v>1</v>
      </c>
      <c r="I97" s="16"/>
      <c r="J97" s="16"/>
      <c r="K97" s="16">
        <v>9</v>
      </c>
      <c r="M97">
        <v>101</v>
      </c>
      <c r="N97" s="16">
        <f t="shared" si="3"/>
        <v>9</v>
      </c>
      <c r="O97" s="16">
        <f t="shared" si="4"/>
        <v>0</v>
      </c>
      <c r="P97" t="str">
        <f t="shared" si="5"/>
        <v>OK</v>
      </c>
    </row>
    <row r="98" spans="1:16" x14ac:dyDescent="0.3">
      <c r="A98" s="15">
        <v>46127</v>
      </c>
      <c r="B98" t="s">
        <v>217</v>
      </c>
      <c r="C98" t="s">
        <v>209</v>
      </c>
      <c r="D98" t="s">
        <v>210</v>
      </c>
      <c r="E98" t="s">
        <v>211</v>
      </c>
      <c r="F98" s="16">
        <v>4</v>
      </c>
      <c r="G98" s="16"/>
      <c r="H98" s="16"/>
      <c r="I98" s="16">
        <v>4</v>
      </c>
      <c r="J98" s="16"/>
      <c r="K98" s="16">
        <v>0</v>
      </c>
      <c r="M98">
        <v>102</v>
      </c>
      <c r="N98" s="16">
        <f t="shared" si="3"/>
        <v>0</v>
      </c>
      <c r="O98" s="16">
        <f t="shared" si="4"/>
        <v>0</v>
      </c>
      <c r="P98" t="str">
        <f t="shared" si="5"/>
        <v>OK</v>
      </c>
    </row>
    <row r="99" spans="1:16" x14ac:dyDescent="0.3">
      <c r="A99" s="15">
        <v>46128</v>
      </c>
      <c r="B99" t="s">
        <v>217</v>
      </c>
      <c r="C99" t="s">
        <v>206</v>
      </c>
      <c r="D99" t="s">
        <v>207</v>
      </c>
      <c r="E99" t="s">
        <v>208</v>
      </c>
      <c r="F99" s="16">
        <v>25</v>
      </c>
      <c r="G99" s="16">
        <v>208</v>
      </c>
      <c r="H99" s="16">
        <v>32</v>
      </c>
      <c r="I99" s="16"/>
      <c r="J99" s="16"/>
      <c r="K99" s="16">
        <v>201</v>
      </c>
      <c r="M99">
        <v>103</v>
      </c>
      <c r="N99" s="16">
        <f t="shared" si="3"/>
        <v>201</v>
      </c>
      <c r="O99" s="16">
        <f t="shared" si="4"/>
        <v>0</v>
      </c>
      <c r="P99" t="str">
        <f t="shared" si="5"/>
        <v>OK</v>
      </c>
    </row>
    <row r="100" spans="1:16" x14ac:dyDescent="0.3">
      <c r="A100" s="15">
        <v>46129</v>
      </c>
      <c r="B100" t="s">
        <v>217</v>
      </c>
      <c r="C100" t="s">
        <v>206</v>
      </c>
      <c r="D100" t="s">
        <v>207</v>
      </c>
      <c r="E100" t="s">
        <v>208</v>
      </c>
      <c r="F100" s="16">
        <v>201</v>
      </c>
      <c r="G100" s="16"/>
      <c r="H100" s="16">
        <v>50</v>
      </c>
      <c r="I100" s="16"/>
      <c r="J100" s="16"/>
      <c r="K100" s="16">
        <v>151</v>
      </c>
      <c r="M100">
        <v>104</v>
      </c>
      <c r="N100" s="16">
        <f t="shared" si="3"/>
        <v>151</v>
      </c>
      <c r="O100" s="16">
        <f t="shared" si="4"/>
        <v>0</v>
      </c>
      <c r="P100" t="str">
        <f t="shared" si="5"/>
        <v>OK</v>
      </c>
    </row>
    <row r="101" spans="1:16" x14ac:dyDescent="0.3">
      <c r="A101" s="15">
        <v>46132</v>
      </c>
      <c r="B101" t="s">
        <v>217</v>
      </c>
      <c r="C101" t="s">
        <v>206</v>
      </c>
      <c r="D101" t="s">
        <v>207</v>
      </c>
      <c r="E101" t="s">
        <v>208</v>
      </c>
      <c r="F101" s="16">
        <v>151</v>
      </c>
      <c r="G101" s="16"/>
      <c r="H101" s="16">
        <v>50</v>
      </c>
      <c r="I101" s="16"/>
      <c r="J101" s="16"/>
      <c r="K101" s="16">
        <v>101</v>
      </c>
      <c r="M101">
        <v>105</v>
      </c>
      <c r="N101" s="16">
        <f t="shared" si="3"/>
        <v>101</v>
      </c>
      <c r="O101" s="16">
        <f t="shared" si="4"/>
        <v>0</v>
      </c>
      <c r="P101" t="str">
        <f t="shared" si="5"/>
        <v>OK</v>
      </c>
    </row>
    <row r="102" spans="1:16" x14ac:dyDescent="0.3">
      <c r="A102" s="15">
        <v>46133</v>
      </c>
      <c r="B102" t="s">
        <v>217</v>
      </c>
      <c r="C102" t="s">
        <v>206</v>
      </c>
      <c r="D102" t="s">
        <v>207</v>
      </c>
      <c r="E102" t="s">
        <v>208</v>
      </c>
      <c r="F102" s="16">
        <v>101</v>
      </c>
      <c r="G102" s="16"/>
      <c r="H102" s="16">
        <v>55</v>
      </c>
      <c r="I102" s="16"/>
      <c r="J102" s="16"/>
      <c r="K102" s="16">
        <v>46</v>
      </c>
      <c r="M102">
        <v>106</v>
      </c>
      <c r="N102" s="16">
        <f t="shared" si="3"/>
        <v>46</v>
      </c>
      <c r="O102" s="16">
        <f t="shared" si="4"/>
        <v>0</v>
      </c>
      <c r="P102" t="str">
        <f t="shared" si="5"/>
        <v>OK</v>
      </c>
    </row>
    <row r="103" spans="1:16" x14ac:dyDescent="0.3">
      <c r="A103" s="15">
        <v>46133</v>
      </c>
      <c r="B103" t="s">
        <v>217</v>
      </c>
      <c r="C103" t="s">
        <v>209</v>
      </c>
      <c r="D103" t="s">
        <v>212</v>
      </c>
      <c r="E103" t="s">
        <v>213</v>
      </c>
      <c r="F103" s="16"/>
      <c r="G103" s="16">
        <v>195</v>
      </c>
      <c r="H103" s="16">
        <v>195</v>
      </c>
      <c r="I103" s="16"/>
      <c r="J103" s="16"/>
      <c r="K103" s="16">
        <v>0</v>
      </c>
      <c r="M103">
        <v>107</v>
      </c>
      <c r="N103" s="16">
        <f t="shared" si="3"/>
        <v>0</v>
      </c>
      <c r="O103" s="16">
        <f t="shared" si="4"/>
        <v>0</v>
      </c>
      <c r="P103" t="str">
        <f t="shared" si="5"/>
        <v>OK</v>
      </c>
    </row>
    <row r="104" spans="1:16" x14ac:dyDescent="0.3">
      <c r="A104" s="15">
        <v>46134</v>
      </c>
      <c r="B104" t="s">
        <v>217</v>
      </c>
      <c r="C104" t="s">
        <v>206</v>
      </c>
      <c r="D104" t="s">
        <v>207</v>
      </c>
      <c r="E104" t="s">
        <v>208</v>
      </c>
      <c r="F104" s="16">
        <v>46</v>
      </c>
      <c r="G104" s="16">
        <v>200</v>
      </c>
      <c r="H104" s="16">
        <v>50</v>
      </c>
      <c r="I104" s="16"/>
      <c r="J104" s="16"/>
      <c r="K104" s="16">
        <v>196</v>
      </c>
      <c r="M104">
        <v>108</v>
      </c>
      <c r="N104" s="16">
        <f t="shared" si="3"/>
        <v>196</v>
      </c>
      <c r="O104" s="16">
        <f t="shared" si="4"/>
        <v>0</v>
      </c>
      <c r="P104" t="str">
        <f t="shared" si="5"/>
        <v>OK</v>
      </c>
    </row>
    <row r="105" spans="1:16" x14ac:dyDescent="0.3">
      <c r="A105" s="15">
        <v>46135</v>
      </c>
      <c r="B105" t="s">
        <v>217</v>
      </c>
      <c r="C105" t="s">
        <v>206</v>
      </c>
      <c r="D105" t="s">
        <v>207</v>
      </c>
      <c r="E105" t="s">
        <v>208</v>
      </c>
      <c r="F105" s="16">
        <v>196</v>
      </c>
      <c r="G105" s="16"/>
      <c r="H105" s="16">
        <v>36</v>
      </c>
      <c r="I105" s="16"/>
      <c r="J105" s="16"/>
      <c r="K105" s="16">
        <v>160</v>
      </c>
      <c r="M105">
        <v>109</v>
      </c>
      <c r="N105" s="16">
        <f t="shared" si="3"/>
        <v>160</v>
      </c>
      <c r="O105" s="16">
        <f t="shared" si="4"/>
        <v>0</v>
      </c>
      <c r="P105" t="str">
        <f t="shared" si="5"/>
        <v>OK</v>
      </c>
    </row>
    <row r="106" spans="1:16" x14ac:dyDescent="0.3">
      <c r="A106" s="15">
        <v>46136</v>
      </c>
      <c r="B106" t="s">
        <v>217</v>
      </c>
      <c r="C106" t="s">
        <v>206</v>
      </c>
      <c r="D106" t="s">
        <v>207</v>
      </c>
      <c r="E106" t="s">
        <v>208</v>
      </c>
      <c r="F106" s="16">
        <v>160</v>
      </c>
      <c r="G106" s="16"/>
      <c r="H106" s="16"/>
      <c r="I106" s="16">
        <v>2</v>
      </c>
      <c r="J106" s="16"/>
      <c r="K106" s="16">
        <v>158</v>
      </c>
      <c r="M106">
        <v>110</v>
      </c>
      <c r="N106" s="16">
        <f t="shared" si="3"/>
        <v>158</v>
      </c>
      <c r="O106" s="16">
        <f t="shared" si="4"/>
        <v>0</v>
      </c>
      <c r="P106" t="str">
        <f t="shared" si="5"/>
        <v>OK</v>
      </c>
    </row>
    <row r="107" spans="1:16" x14ac:dyDescent="0.3">
      <c r="A107" s="15">
        <v>46136</v>
      </c>
      <c r="B107" t="s">
        <v>217</v>
      </c>
      <c r="C107" t="s">
        <v>209</v>
      </c>
      <c r="D107" t="s">
        <v>210</v>
      </c>
      <c r="E107" t="s">
        <v>211</v>
      </c>
      <c r="F107" s="16">
        <v>0</v>
      </c>
      <c r="G107" s="16">
        <v>5</v>
      </c>
      <c r="H107" s="16"/>
      <c r="I107" s="16">
        <v>1</v>
      </c>
      <c r="J107" s="16"/>
      <c r="K107" s="16">
        <v>4</v>
      </c>
      <c r="M107">
        <v>111</v>
      </c>
      <c r="N107" s="16">
        <f t="shared" si="3"/>
        <v>4</v>
      </c>
      <c r="O107" s="16">
        <f t="shared" si="4"/>
        <v>0</v>
      </c>
      <c r="P107" t="str">
        <f t="shared" si="5"/>
        <v>OK</v>
      </c>
    </row>
    <row r="108" spans="1:16" x14ac:dyDescent="0.3">
      <c r="A108" s="15">
        <v>46139</v>
      </c>
      <c r="B108" t="s">
        <v>217</v>
      </c>
      <c r="C108" t="s">
        <v>206</v>
      </c>
      <c r="D108" t="s">
        <v>207</v>
      </c>
      <c r="E108" t="s">
        <v>208</v>
      </c>
      <c r="F108" s="16">
        <v>158</v>
      </c>
      <c r="G108" s="16"/>
      <c r="H108" s="16">
        <v>60</v>
      </c>
      <c r="I108" s="16">
        <v>10</v>
      </c>
      <c r="J108" s="16"/>
      <c r="K108" s="16">
        <v>88</v>
      </c>
      <c r="M108">
        <v>112</v>
      </c>
      <c r="N108" s="16">
        <f t="shared" si="3"/>
        <v>88</v>
      </c>
      <c r="O108" s="16">
        <f t="shared" si="4"/>
        <v>0</v>
      </c>
      <c r="P108" t="str">
        <f t="shared" si="5"/>
        <v>OK</v>
      </c>
    </row>
    <row r="109" spans="1:16" x14ac:dyDescent="0.3">
      <c r="A109" s="15">
        <v>46140</v>
      </c>
      <c r="B109" t="s">
        <v>217</v>
      </c>
      <c r="C109" t="s">
        <v>206</v>
      </c>
      <c r="D109" t="s">
        <v>207</v>
      </c>
      <c r="E109" t="s">
        <v>208</v>
      </c>
      <c r="F109" s="16">
        <v>88</v>
      </c>
      <c r="G109" s="16"/>
      <c r="H109" s="16"/>
      <c r="I109" s="16">
        <v>5</v>
      </c>
      <c r="J109" s="16"/>
      <c r="K109" s="16">
        <v>83</v>
      </c>
      <c r="M109">
        <v>113</v>
      </c>
      <c r="N109" s="16">
        <f t="shared" si="3"/>
        <v>83</v>
      </c>
      <c r="O109" s="16">
        <f t="shared" si="4"/>
        <v>0</v>
      </c>
      <c r="P109" t="str">
        <f t="shared" si="5"/>
        <v>OK</v>
      </c>
    </row>
    <row r="110" spans="1:16" x14ac:dyDescent="0.3">
      <c r="A110" s="15">
        <v>46141</v>
      </c>
      <c r="B110" t="s">
        <v>217</v>
      </c>
      <c r="C110" t="s">
        <v>206</v>
      </c>
      <c r="D110" t="s">
        <v>207</v>
      </c>
      <c r="E110" t="s">
        <v>208</v>
      </c>
      <c r="F110" s="16">
        <v>83</v>
      </c>
      <c r="G110" s="16"/>
      <c r="H110" s="16">
        <v>80</v>
      </c>
      <c r="I110" s="16"/>
      <c r="J110" s="16"/>
      <c r="K110" s="16">
        <v>3</v>
      </c>
      <c r="M110">
        <v>114</v>
      </c>
      <c r="N110" s="16">
        <f t="shared" si="3"/>
        <v>3</v>
      </c>
      <c r="O110" s="16">
        <f t="shared" si="4"/>
        <v>0</v>
      </c>
      <c r="P110" t="str">
        <f t="shared" si="5"/>
        <v>OK</v>
      </c>
    </row>
    <row r="111" spans="1:16" x14ac:dyDescent="0.3">
      <c r="A111" s="15">
        <v>46143</v>
      </c>
      <c r="B111" t="s">
        <v>219</v>
      </c>
      <c r="C111" t="s">
        <v>206</v>
      </c>
      <c r="D111" t="s">
        <v>207</v>
      </c>
      <c r="E111" t="s">
        <v>208</v>
      </c>
      <c r="F111" s="16">
        <v>3</v>
      </c>
      <c r="G111" s="16">
        <v>150</v>
      </c>
      <c r="H111" s="16">
        <v>50</v>
      </c>
      <c r="I111" s="16"/>
      <c r="J111" s="16"/>
      <c r="K111" s="16">
        <v>103</v>
      </c>
      <c r="M111">
        <v>116</v>
      </c>
      <c r="N111" s="16">
        <f t="shared" si="3"/>
        <v>103</v>
      </c>
      <c r="O111" s="16">
        <f t="shared" si="4"/>
        <v>0</v>
      </c>
      <c r="P111" t="str">
        <f t="shared" si="5"/>
        <v>OK</v>
      </c>
    </row>
    <row r="112" spans="1:16" x14ac:dyDescent="0.3">
      <c r="A112" s="15">
        <v>46144</v>
      </c>
      <c r="B112" t="s">
        <v>219</v>
      </c>
      <c r="C112" t="s">
        <v>206</v>
      </c>
      <c r="D112" t="s">
        <v>207</v>
      </c>
      <c r="E112" t="s">
        <v>208</v>
      </c>
      <c r="F112" s="16">
        <v>103</v>
      </c>
      <c r="G112" s="16"/>
      <c r="H112" s="16"/>
      <c r="I112" s="16">
        <v>1</v>
      </c>
      <c r="J112" s="16"/>
      <c r="K112" s="16">
        <v>102</v>
      </c>
      <c r="M112">
        <v>117</v>
      </c>
      <c r="N112" s="16">
        <f t="shared" si="3"/>
        <v>102</v>
      </c>
      <c r="O112" s="16">
        <f t="shared" si="4"/>
        <v>0</v>
      </c>
      <c r="P112" t="str">
        <f t="shared" si="5"/>
        <v>OK</v>
      </c>
    </row>
    <row r="113" spans="1:16" x14ac:dyDescent="0.3">
      <c r="A113" s="15">
        <v>46144</v>
      </c>
      <c r="B113" t="s">
        <v>219</v>
      </c>
      <c r="C113" t="s">
        <v>209</v>
      </c>
      <c r="D113" t="s">
        <v>210</v>
      </c>
      <c r="E113" t="s">
        <v>211</v>
      </c>
      <c r="F113" s="16">
        <v>4</v>
      </c>
      <c r="G113" s="16"/>
      <c r="H113" s="16"/>
      <c r="I113" s="16">
        <v>1</v>
      </c>
      <c r="J113" s="16"/>
      <c r="K113" s="16">
        <v>3</v>
      </c>
      <c r="M113">
        <v>118</v>
      </c>
      <c r="N113" s="16">
        <f t="shared" si="3"/>
        <v>3</v>
      </c>
      <c r="O113" s="16">
        <f t="shared" si="4"/>
        <v>0</v>
      </c>
      <c r="P113" t="str">
        <f t="shared" si="5"/>
        <v>OK</v>
      </c>
    </row>
    <row r="114" spans="1:16" x14ac:dyDescent="0.3">
      <c r="A114" s="15">
        <v>46146</v>
      </c>
      <c r="B114" t="s">
        <v>219</v>
      </c>
      <c r="C114" t="s">
        <v>206</v>
      </c>
      <c r="D114" t="s">
        <v>207</v>
      </c>
      <c r="E114" t="s">
        <v>208</v>
      </c>
      <c r="F114" s="16">
        <v>102</v>
      </c>
      <c r="G114" s="16"/>
      <c r="H114" s="16">
        <v>59</v>
      </c>
      <c r="I114" s="16"/>
      <c r="J114" s="16"/>
      <c r="K114" s="16">
        <v>43</v>
      </c>
      <c r="M114">
        <v>119</v>
      </c>
      <c r="N114" s="16">
        <f t="shared" si="3"/>
        <v>43</v>
      </c>
      <c r="O114" s="16">
        <f t="shared" si="4"/>
        <v>0</v>
      </c>
      <c r="P114" t="str">
        <f t="shared" si="5"/>
        <v>OK</v>
      </c>
    </row>
    <row r="115" spans="1:16" x14ac:dyDescent="0.3">
      <c r="A115" s="15">
        <v>46147</v>
      </c>
      <c r="B115" t="s">
        <v>219</v>
      </c>
      <c r="C115" t="s">
        <v>206</v>
      </c>
      <c r="D115" t="s">
        <v>207</v>
      </c>
      <c r="E115" t="s">
        <v>208</v>
      </c>
      <c r="F115" s="16">
        <v>43</v>
      </c>
      <c r="G115" s="16">
        <v>215</v>
      </c>
      <c r="H115" s="16">
        <v>60</v>
      </c>
      <c r="I115" s="16"/>
      <c r="J115" s="16"/>
      <c r="K115" s="16">
        <v>198</v>
      </c>
      <c r="M115">
        <v>120</v>
      </c>
      <c r="N115" s="16">
        <f t="shared" si="3"/>
        <v>198</v>
      </c>
      <c r="O115" s="16">
        <f t="shared" si="4"/>
        <v>0</v>
      </c>
      <c r="P115" t="str">
        <f t="shared" si="5"/>
        <v>OK</v>
      </c>
    </row>
    <row r="116" spans="1:16" x14ac:dyDescent="0.3">
      <c r="A116" s="15">
        <v>46147</v>
      </c>
      <c r="B116" t="s">
        <v>219</v>
      </c>
      <c r="C116" t="s">
        <v>209</v>
      </c>
      <c r="D116" t="s">
        <v>212</v>
      </c>
      <c r="E116" t="s">
        <v>213</v>
      </c>
      <c r="F116" s="16"/>
      <c r="G116" s="16">
        <v>70</v>
      </c>
      <c r="H116" s="16">
        <v>70</v>
      </c>
      <c r="I116" s="16"/>
      <c r="J116" s="16"/>
      <c r="K116" s="16">
        <v>0</v>
      </c>
      <c r="M116">
        <v>121</v>
      </c>
      <c r="N116" s="16">
        <f t="shared" si="3"/>
        <v>0</v>
      </c>
      <c r="O116" s="16">
        <f t="shared" si="4"/>
        <v>0</v>
      </c>
      <c r="P116" t="str">
        <f t="shared" si="5"/>
        <v>OK</v>
      </c>
    </row>
    <row r="117" spans="1:16" x14ac:dyDescent="0.3">
      <c r="A117" s="15">
        <v>46147</v>
      </c>
      <c r="B117" t="s">
        <v>219</v>
      </c>
      <c r="C117" t="s">
        <v>209</v>
      </c>
      <c r="D117" t="s">
        <v>210</v>
      </c>
      <c r="E117" t="s">
        <v>211</v>
      </c>
      <c r="F117" s="16">
        <v>3</v>
      </c>
      <c r="G117" s="16"/>
      <c r="H117" s="16"/>
      <c r="I117" s="16">
        <v>1</v>
      </c>
      <c r="J117" s="16"/>
      <c r="K117" s="16">
        <v>2</v>
      </c>
      <c r="M117">
        <v>122</v>
      </c>
      <c r="N117" s="16">
        <f t="shared" si="3"/>
        <v>2</v>
      </c>
      <c r="O117" s="16">
        <f t="shared" si="4"/>
        <v>0</v>
      </c>
      <c r="P117" t="str">
        <f t="shared" si="5"/>
        <v>OK</v>
      </c>
    </row>
    <row r="118" spans="1:16" x14ac:dyDescent="0.3">
      <c r="A118" s="15">
        <v>46148</v>
      </c>
      <c r="B118" t="s">
        <v>219</v>
      </c>
      <c r="C118" t="s">
        <v>206</v>
      </c>
      <c r="D118" t="s">
        <v>207</v>
      </c>
      <c r="E118" t="s">
        <v>208</v>
      </c>
      <c r="F118" s="16">
        <v>198</v>
      </c>
      <c r="G118" s="16"/>
      <c r="H118" s="16">
        <v>37</v>
      </c>
      <c r="I118" s="16"/>
      <c r="J118" s="16"/>
      <c r="K118" s="16">
        <v>161</v>
      </c>
      <c r="M118">
        <v>123</v>
      </c>
      <c r="N118" s="16">
        <f t="shared" si="3"/>
        <v>161</v>
      </c>
      <c r="O118" s="16">
        <f t="shared" si="4"/>
        <v>0</v>
      </c>
      <c r="P118" t="str">
        <f t="shared" si="5"/>
        <v>OK</v>
      </c>
    </row>
    <row r="119" spans="1:16" x14ac:dyDescent="0.3">
      <c r="A119" s="15">
        <v>46149</v>
      </c>
      <c r="B119" t="s">
        <v>219</v>
      </c>
      <c r="C119" t="s">
        <v>206</v>
      </c>
      <c r="D119" t="s">
        <v>207</v>
      </c>
      <c r="E119" t="s">
        <v>208</v>
      </c>
      <c r="F119" s="16">
        <v>161</v>
      </c>
      <c r="G119" s="16"/>
      <c r="H119" s="16">
        <v>51</v>
      </c>
      <c r="I119" s="16"/>
      <c r="J119" s="16"/>
      <c r="K119" s="16">
        <v>110</v>
      </c>
      <c r="M119">
        <v>124</v>
      </c>
      <c r="N119" s="16">
        <f t="shared" si="3"/>
        <v>110</v>
      </c>
      <c r="O119" s="16">
        <f t="shared" si="4"/>
        <v>0</v>
      </c>
      <c r="P119" t="str">
        <f t="shared" si="5"/>
        <v>OK</v>
      </c>
    </row>
    <row r="120" spans="1:16" x14ac:dyDescent="0.3">
      <c r="A120" s="15">
        <v>46150</v>
      </c>
      <c r="B120" t="s">
        <v>219</v>
      </c>
      <c r="C120" t="s">
        <v>206</v>
      </c>
      <c r="D120" t="s">
        <v>207</v>
      </c>
      <c r="E120" t="s">
        <v>208</v>
      </c>
      <c r="F120" s="16">
        <v>110</v>
      </c>
      <c r="G120" s="16"/>
      <c r="H120" s="16">
        <v>60</v>
      </c>
      <c r="I120" s="16">
        <v>1</v>
      </c>
      <c r="J120" s="16"/>
      <c r="K120" s="16">
        <v>49</v>
      </c>
      <c r="M120">
        <v>125</v>
      </c>
      <c r="N120" s="16">
        <f t="shared" si="3"/>
        <v>49</v>
      </c>
      <c r="O120" s="16">
        <f t="shared" si="4"/>
        <v>0</v>
      </c>
      <c r="P120" t="str">
        <f t="shared" si="5"/>
        <v>OK</v>
      </c>
    </row>
    <row r="121" spans="1:16" x14ac:dyDescent="0.3">
      <c r="A121" s="15">
        <v>46150</v>
      </c>
      <c r="B121" t="s">
        <v>219</v>
      </c>
      <c r="C121" t="s">
        <v>209</v>
      </c>
      <c r="D121" t="s">
        <v>210</v>
      </c>
      <c r="E121" t="s">
        <v>211</v>
      </c>
      <c r="F121" s="16">
        <v>2</v>
      </c>
      <c r="G121" s="16"/>
      <c r="H121" s="16"/>
      <c r="I121" s="16">
        <v>1</v>
      </c>
      <c r="J121" s="16"/>
      <c r="K121" s="16">
        <v>1</v>
      </c>
      <c r="M121">
        <v>126</v>
      </c>
      <c r="N121" s="16">
        <f t="shared" si="3"/>
        <v>1</v>
      </c>
      <c r="O121" s="16">
        <f t="shared" si="4"/>
        <v>0</v>
      </c>
      <c r="P121" t="str">
        <f t="shared" si="5"/>
        <v>OK</v>
      </c>
    </row>
    <row r="122" spans="1:16" x14ac:dyDescent="0.3">
      <c r="A122" s="15">
        <v>46153</v>
      </c>
      <c r="B122" t="s">
        <v>219</v>
      </c>
      <c r="C122" t="s">
        <v>206</v>
      </c>
      <c r="D122" t="s">
        <v>207</v>
      </c>
      <c r="E122" t="s">
        <v>208</v>
      </c>
      <c r="F122" s="16">
        <v>49</v>
      </c>
      <c r="G122" s="16">
        <v>150</v>
      </c>
      <c r="H122" s="16">
        <v>60</v>
      </c>
      <c r="I122" s="16">
        <v>7</v>
      </c>
      <c r="J122" s="16"/>
      <c r="K122" s="16">
        <v>132</v>
      </c>
      <c r="M122">
        <v>127</v>
      </c>
      <c r="N122" s="16">
        <f t="shared" si="3"/>
        <v>132</v>
      </c>
      <c r="O122" s="16">
        <f t="shared" si="4"/>
        <v>0</v>
      </c>
      <c r="P122" t="str">
        <f t="shared" si="5"/>
        <v>OK</v>
      </c>
    </row>
    <row r="123" spans="1:16" x14ac:dyDescent="0.3">
      <c r="A123" s="15">
        <v>46154</v>
      </c>
      <c r="B123" t="s">
        <v>219</v>
      </c>
      <c r="C123" t="s">
        <v>206</v>
      </c>
      <c r="D123" t="s">
        <v>207</v>
      </c>
      <c r="E123" t="s">
        <v>208</v>
      </c>
      <c r="F123" s="16">
        <v>132</v>
      </c>
      <c r="G123" s="16"/>
      <c r="H123" s="16"/>
      <c r="I123" s="16">
        <v>20</v>
      </c>
      <c r="J123" s="16"/>
      <c r="K123" s="16">
        <v>112</v>
      </c>
      <c r="M123">
        <v>128</v>
      </c>
      <c r="N123" s="16">
        <f t="shared" si="3"/>
        <v>112</v>
      </c>
      <c r="O123" s="16">
        <f t="shared" si="4"/>
        <v>0</v>
      </c>
      <c r="P123" t="str">
        <f t="shared" si="5"/>
        <v>OK</v>
      </c>
    </row>
    <row r="124" spans="1:16" x14ac:dyDescent="0.3">
      <c r="A124" s="15">
        <v>46155</v>
      </c>
      <c r="B124" t="s">
        <v>219</v>
      </c>
      <c r="C124" t="s">
        <v>206</v>
      </c>
      <c r="D124" t="s">
        <v>207</v>
      </c>
      <c r="E124" t="s">
        <v>208</v>
      </c>
      <c r="F124" s="16">
        <v>112</v>
      </c>
      <c r="G124" s="16">
        <v>150</v>
      </c>
      <c r="H124" s="16">
        <v>120</v>
      </c>
      <c r="I124" s="16"/>
      <c r="J124" s="16"/>
      <c r="K124" s="16">
        <v>142</v>
      </c>
      <c r="M124">
        <v>129</v>
      </c>
      <c r="N124" s="16">
        <f t="shared" si="3"/>
        <v>142</v>
      </c>
      <c r="O124" s="16">
        <f t="shared" si="4"/>
        <v>0</v>
      </c>
      <c r="P124" t="str">
        <f t="shared" si="5"/>
        <v>OK</v>
      </c>
    </row>
    <row r="125" spans="1:16" x14ac:dyDescent="0.3">
      <c r="A125" s="15">
        <v>46155</v>
      </c>
      <c r="B125" t="s">
        <v>219</v>
      </c>
      <c r="C125" t="s">
        <v>209</v>
      </c>
      <c r="D125" t="s">
        <v>212</v>
      </c>
      <c r="E125" t="s">
        <v>213</v>
      </c>
      <c r="F125" s="16"/>
      <c r="G125" s="16">
        <v>305</v>
      </c>
      <c r="H125" s="16">
        <v>305</v>
      </c>
      <c r="I125" s="16"/>
      <c r="J125" s="16"/>
      <c r="K125" s="16">
        <v>0</v>
      </c>
      <c r="M125">
        <v>130</v>
      </c>
      <c r="N125" s="16">
        <f t="shared" si="3"/>
        <v>0</v>
      </c>
      <c r="O125" s="16">
        <f t="shared" si="4"/>
        <v>0</v>
      </c>
      <c r="P125" t="str">
        <f t="shared" si="5"/>
        <v>OK</v>
      </c>
    </row>
    <row r="126" spans="1:16" x14ac:dyDescent="0.3">
      <c r="A126" s="15">
        <v>46156</v>
      </c>
      <c r="B126" t="s">
        <v>219</v>
      </c>
      <c r="C126" t="s">
        <v>206</v>
      </c>
      <c r="D126" t="s">
        <v>207</v>
      </c>
      <c r="E126" t="s">
        <v>208</v>
      </c>
      <c r="F126" s="16">
        <v>142</v>
      </c>
      <c r="G126" s="16"/>
      <c r="H126" s="16">
        <v>105</v>
      </c>
      <c r="I126" s="16"/>
      <c r="J126" s="16"/>
      <c r="K126" s="16">
        <v>37</v>
      </c>
      <c r="M126">
        <v>131</v>
      </c>
      <c r="N126" s="16">
        <f t="shared" si="3"/>
        <v>37</v>
      </c>
      <c r="O126" s="16">
        <f t="shared" si="4"/>
        <v>0</v>
      </c>
      <c r="P126" t="str">
        <f t="shared" si="5"/>
        <v>OK</v>
      </c>
    </row>
    <row r="127" spans="1:16" x14ac:dyDescent="0.3">
      <c r="A127" s="15">
        <v>46157</v>
      </c>
      <c r="B127" t="s">
        <v>219</v>
      </c>
      <c r="C127" t="s">
        <v>206</v>
      </c>
      <c r="D127" t="s">
        <v>207</v>
      </c>
      <c r="E127" t="s">
        <v>208</v>
      </c>
      <c r="F127" s="16">
        <v>37</v>
      </c>
      <c r="G127" s="16">
        <v>200</v>
      </c>
      <c r="H127" s="16">
        <v>60</v>
      </c>
      <c r="I127" s="16"/>
      <c r="J127" s="16"/>
      <c r="K127" s="16">
        <v>177</v>
      </c>
      <c r="M127">
        <v>132</v>
      </c>
      <c r="N127" s="16">
        <f t="shared" si="3"/>
        <v>177</v>
      </c>
      <c r="O127" s="16">
        <f t="shared" si="4"/>
        <v>0</v>
      </c>
      <c r="P127" t="str">
        <f t="shared" si="5"/>
        <v>OK</v>
      </c>
    </row>
    <row r="128" spans="1:16" x14ac:dyDescent="0.3">
      <c r="A128" s="15">
        <v>46160</v>
      </c>
      <c r="B128" t="s">
        <v>219</v>
      </c>
      <c r="C128" t="s">
        <v>206</v>
      </c>
      <c r="D128" t="s">
        <v>207</v>
      </c>
      <c r="E128" t="s">
        <v>208</v>
      </c>
      <c r="F128" s="16">
        <v>177</v>
      </c>
      <c r="G128" s="16"/>
      <c r="H128" s="16">
        <v>35</v>
      </c>
      <c r="I128" s="16"/>
      <c r="J128" s="16"/>
      <c r="K128" s="16">
        <v>142</v>
      </c>
      <c r="M128">
        <v>133</v>
      </c>
      <c r="N128" s="16">
        <f t="shared" si="3"/>
        <v>142</v>
      </c>
      <c r="O128" s="16">
        <f t="shared" si="4"/>
        <v>0</v>
      </c>
      <c r="P128" t="str">
        <f t="shared" si="5"/>
        <v>OK</v>
      </c>
    </row>
    <row r="129" spans="1:16" x14ac:dyDescent="0.3">
      <c r="A129" s="15">
        <v>46161</v>
      </c>
      <c r="B129" t="s">
        <v>219</v>
      </c>
      <c r="C129" t="s">
        <v>206</v>
      </c>
      <c r="D129" t="s">
        <v>207</v>
      </c>
      <c r="E129" t="s">
        <v>208</v>
      </c>
      <c r="F129" s="16">
        <v>142</v>
      </c>
      <c r="G129" s="16"/>
      <c r="H129" s="16">
        <v>115</v>
      </c>
      <c r="I129" s="16"/>
      <c r="J129" s="16"/>
      <c r="K129" s="16">
        <v>27</v>
      </c>
      <c r="M129">
        <v>134</v>
      </c>
      <c r="N129" s="16">
        <f t="shared" si="3"/>
        <v>27</v>
      </c>
      <c r="O129" s="16">
        <f t="shared" si="4"/>
        <v>0</v>
      </c>
      <c r="P129" t="str">
        <f t="shared" si="5"/>
        <v>OK</v>
      </c>
    </row>
    <row r="130" spans="1:16" x14ac:dyDescent="0.3">
      <c r="A130" s="15">
        <v>46163</v>
      </c>
      <c r="B130" t="s">
        <v>219</v>
      </c>
      <c r="C130" t="s">
        <v>206</v>
      </c>
      <c r="D130" t="s">
        <v>207</v>
      </c>
      <c r="E130" t="s">
        <v>208</v>
      </c>
      <c r="F130" s="16">
        <v>27</v>
      </c>
      <c r="G130" s="16">
        <v>143</v>
      </c>
      <c r="H130" s="16">
        <v>56</v>
      </c>
      <c r="I130" s="16"/>
      <c r="J130" s="16"/>
      <c r="K130" s="16">
        <v>114</v>
      </c>
      <c r="M130">
        <v>135</v>
      </c>
      <c r="N130" s="16">
        <f t="shared" si="3"/>
        <v>114</v>
      </c>
      <c r="O130" s="16">
        <f t="shared" si="4"/>
        <v>0</v>
      </c>
      <c r="P130" t="str">
        <f t="shared" si="5"/>
        <v>OK</v>
      </c>
    </row>
    <row r="131" spans="1:16" x14ac:dyDescent="0.3">
      <c r="A131" s="15">
        <v>46163</v>
      </c>
      <c r="B131" t="s">
        <v>219</v>
      </c>
      <c r="C131" t="s">
        <v>209</v>
      </c>
      <c r="D131" t="s">
        <v>212</v>
      </c>
      <c r="E131" t="s">
        <v>213</v>
      </c>
      <c r="F131" s="16"/>
      <c r="G131" s="16">
        <v>350</v>
      </c>
      <c r="H131" s="16">
        <v>350</v>
      </c>
      <c r="I131" s="16"/>
      <c r="J131" s="16"/>
      <c r="K131" s="16">
        <v>0</v>
      </c>
      <c r="M131">
        <v>136</v>
      </c>
      <c r="N131" s="16">
        <f t="shared" ref="N131:N162" si="6">SUM(F131,G131,J131)-SUM(H131,I131)</f>
        <v>0</v>
      </c>
      <c r="O131" s="16">
        <f t="shared" ref="O131:O162" si="7">IF(K131="","",K131-N131)</f>
        <v>0</v>
      </c>
      <c r="P131" t="str">
        <f t="shared" ref="P131:P162" si="8">IF(O131="","",IF(ABS(O131)&lt;0.001,"OK","CHECK"))</f>
        <v>OK</v>
      </c>
    </row>
    <row r="132" spans="1:16" x14ac:dyDescent="0.3">
      <c r="A132" s="15">
        <v>46164</v>
      </c>
      <c r="B132" t="s">
        <v>219</v>
      </c>
      <c r="C132" t="s">
        <v>206</v>
      </c>
      <c r="D132" t="s">
        <v>207</v>
      </c>
      <c r="E132" t="s">
        <v>208</v>
      </c>
      <c r="F132" s="16">
        <v>114</v>
      </c>
      <c r="G132" s="16"/>
      <c r="H132" s="16">
        <v>61</v>
      </c>
      <c r="I132" s="16"/>
      <c r="J132" s="16"/>
      <c r="K132" s="16">
        <v>53</v>
      </c>
      <c r="M132">
        <v>137</v>
      </c>
      <c r="N132" s="16">
        <f t="shared" si="6"/>
        <v>53</v>
      </c>
      <c r="O132" s="16">
        <f t="shared" si="7"/>
        <v>0</v>
      </c>
      <c r="P132" t="str">
        <f t="shared" si="8"/>
        <v>OK</v>
      </c>
    </row>
    <row r="133" spans="1:16" x14ac:dyDescent="0.3">
      <c r="A133" s="15">
        <v>46167</v>
      </c>
      <c r="B133" t="s">
        <v>219</v>
      </c>
      <c r="C133" t="s">
        <v>206</v>
      </c>
      <c r="D133" t="s">
        <v>207</v>
      </c>
      <c r="E133" t="s">
        <v>208</v>
      </c>
      <c r="F133" s="16">
        <v>53</v>
      </c>
      <c r="G133" s="16">
        <v>170</v>
      </c>
      <c r="H133" s="16">
        <v>64</v>
      </c>
      <c r="I133" s="16"/>
      <c r="J133" s="16"/>
      <c r="K133" s="16">
        <v>159</v>
      </c>
      <c r="M133">
        <v>138</v>
      </c>
      <c r="N133" s="16">
        <f t="shared" si="6"/>
        <v>159</v>
      </c>
      <c r="O133" s="16">
        <f t="shared" si="7"/>
        <v>0</v>
      </c>
      <c r="P133" t="str">
        <f t="shared" si="8"/>
        <v>OK</v>
      </c>
    </row>
    <row r="134" spans="1:16" x14ac:dyDescent="0.3">
      <c r="A134" s="15">
        <v>46168</v>
      </c>
      <c r="B134" t="s">
        <v>219</v>
      </c>
      <c r="C134" t="s">
        <v>206</v>
      </c>
      <c r="D134" t="s">
        <v>207</v>
      </c>
      <c r="E134" t="s">
        <v>208</v>
      </c>
      <c r="F134" s="16">
        <v>159</v>
      </c>
      <c r="G134" s="16">
        <v>200</v>
      </c>
      <c r="H134" s="16">
        <v>100</v>
      </c>
      <c r="I134" s="16">
        <v>15</v>
      </c>
      <c r="J134" s="16"/>
      <c r="K134" s="16">
        <v>244</v>
      </c>
      <c r="M134">
        <v>139</v>
      </c>
      <c r="N134" s="16">
        <f t="shared" si="6"/>
        <v>244</v>
      </c>
      <c r="O134" s="16">
        <f t="shared" si="7"/>
        <v>0</v>
      </c>
      <c r="P134" t="str">
        <f t="shared" si="8"/>
        <v>OK</v>
      </c>
    </row>
    <row r="135" spans="1:16" x14ac:dyDescent="0.3">
      <c r="A135" s="15">
        <v>46168</v>
      </c>
      <c r="B135" t="s">
        <v>219</v>
      </c>
      <c r="C135" t="s">
        <v>209</v>
      </c>
      <c r="D135" t="s">
        <v>210</v>
      </c>
      <c r="E135" t="s">
        <v>211</v>
      </c>
      <c r="F135" s="16">
        <v>1</v>
      </c>
      <c r="G135" s="16">
        <v>0</v>
      </c>
      <c r="H135" s="16"/>
      <c r="I135" s="16">
        <v>1</v>
      </c>
      <c r="J135" s="16"/>
      <c r="K135" s="16">
        <v>0</v>
      </c>
      <c r="M135">
        <v>140</v>
      </c>
      <c r="N135" s="16">
        <f t="shared" si="6"/>
        <v>0</v>
      </c>
      <c r="O135" s="16">
        <f t="shared" si="7"/>
        <v>0</v>
      </c>
      <c r="P135" t="str">
        <f t="shared" si="8"/>
        <v>OK</v>
      </c>
    </row>
    <row r="136" spans="1:16" x14ac:dyDescent="0.3">
      <c r="A136" s="15">
        <v>46171</v>
      </c>
      <c r="B136" t="s">
        <v>219</v>
      </c>
      <c r="C136" t="s">
        <v>206</v>
      </c>
      <c r="D136" t="s">
        <v>207</v>
      </c>
      <c r="E136" t="s">
        <v>208</v>
      </c>
      <c r="F136" s="16">
        <v>244</v>
      </c>
      <c r="G136" s="16">
        <v>0</v>
      </c>
      <c r="H136" s="16">
        <v>70</v>
      </c>
      <c r="I136" s="16"/>
      <c r="J136" s="16"/>
      <c r="K136" s="16">
        <v>174</v>
      </c>
      <c r="M136">
        <v>141</v>
      </c>
      <c r="N136" s="16">
        <f t="shared" si="6"/>
        <v>174</v>
      </c>
      <c r="O136" s="16">
        <f t="shared" si="7"/>
        <v>0</v>
      </c>
      <c r="P136" t="str">
        <f t="shared" si="8"/>
        <v>OK</v>
      </c>
    </row>
    <row r="137" spans="1:16" x14ac:dyDescent="0.3">
      <c r="A137" s="15">
        <v>46172</v>
      </c>
      <c r="B137" t="s">
        <v>219</v>
      </c>
      <c r="C137" t="s">
        <v>206</v>
      </c>
      <c r="D137" t="s">
        <v>207</v>
      </c>
      <c r="E137" t="s">
        <v>208</v>
      </c>
      <c r="F137" s="16">
        <v>174</v>
      </c>
      <c r="G137" s="16">
        <v>0</v>
      </c>
      <c r="H137" s="16"/>
      <c r="I137" s="16">
        <v>20</v>
      </c>
      <c r="J137" s="16"/>
      <c r="K137" s="16">
        <v>154</v>
      </c>
      <c r="M137">
        <v>142</v>
      </c>
      <c r="N137" s="16">
        <f t="shared" si="6"/>
        <v>154</v>
      </c>
      <c r="O137" s="16">
        <f t="shared" si="7"/>
        <v>0</v>
      </c>
      <c r="P137" t="str">
        <f t="shared" si="8"/>
        <v>OK</v>
      </c>
    </row>
    <row r="138" spans="1:16" x14ac:dyDescent="0.3">
      <c r="A138" s="15">
        <v>46174</v>
      </c>
      <c r="B138" t="s">
        <v>220</v>
      </c>
      <c r="C138" t="s">
        <v>206</v>
      </c>
      <c r="D138" t="s">
        <v>207</v>
      </c>
      <c r="E138" t="s">
        <v>208</v>
      </c>
      <c r="F138" s="16">
        <v>154</v>
      </c>
      <c r="G138" s="16">
        <v>0</v>
      </c>
      <c r="H138" s="16">
        <v>37</v>
      </c>
      <c r="I138" s="16">
        <v>20</v>
      </c>
      <c r="J138" s="16"/>
      <c r="K138" s="16">
        <v>97</v>
      </c>
      <c r="M138">
        <v>144</v>
      </c>
      <c r="N138" s="16">
        <f t="shared" si="6"/>
        <v>97</v>
      </c>
      <c r="O138" s="16">
        <f t="shared" si="7"/>
        <v>0</v>
      </c>
      <c r="P138" t="str">
        <f t="shared" si="8"/>
        <v>OK</v>
      </c>
    </row>
    <row r="139" spans="1:16" x14ac:dyDescent="0.3">
      <c r="A139" s="15">
        <v>46174</v>
      </c>
      <c r="B139" t="s">
        <v>220</v>
      </c>
      <c r="C139" t="s">
        <v>209</v>
      </c>
      <c r="D139" t="s">
        <v>210</v>
      </c>
      <c r="E139" t="s">
        <v>211</v>
      </c>
      <c r="F139" s="16">
        <v>0</v>
      </c>
      <c r="G139" s="16">
        <v>5</v>
      </c>
      <c r="H139" s="16">
        <v>1</v>
      </c>
      <c r="I139" s="16">
        <v>0</v>
      </c>
      <c r="J139" s="16"/>
      <c r="K139" s="16">
        <v>4</v>
      </c>
      <c r="M139">
        <v>145</v>
      </c>
      <c r="N139" s="16">
        <f t="shared" si="6"/>
        <v>4</v>
      </c>
      <c r="O139" s="16">
        <f t="shared" si="7"/>
        <v>0</v>
      </c>
      <c r="P139" t="str">
        <f t="shared" si="8"/>
        <v>OK</v>
      </c>
    </row>
    <row r="140" spans="1:16" x14ac:dyDescent="0.3">
      <c r="A140" s="15">
        <v>46175</v>
      </c>
      <c r="B140" t="s">
        <v>220</v>
      </c>
      <c r="C140" t="s">
        <v>206</v>
      </c>
      <c r="D140" t="s">
        <v>207</v>
      </c>
      <c r="E140" t="s">
        <v>208</v>
      </c>
      <c r="F140" s="16">
        <v>97</v>
      </c>
      <c r="G140" s="16">
        <v>0</v>
      </c>
      <c r="H140" s="16">
        <v>90</v>
      </c>
      <c r="I140" s="16">
        <v>0</v>
      </c>
      <c r="J140" s="16"/>
      <c r="K140" s="16">
        <v>7</v>
      </c>
      <c r="M140">
        <v>146</v>
      </c>
      <c r="N140" s="16">
        <f t="shared" si="6"/>
        <v>7</v>
      </c>
      <c r="O140" s="16">
        <f t="shared" si="7"/>
        <v>0</v>
      </c>
      <c r="P140" t="str">
        <f t="shared" si="8"/>
        <v>OK</v>
      </c>
    </row>
    <row r="141" spans="1:16" x14ac:dyDescent="0.3">
      <c r="A141" s="15">
        <v>46176</v>
      </c>
      <c r="B141" t="s">
        <v>220</v>
      </c>
      <c r="C141" t="s">
        <v>206</v>
      </c>
      <c r="D141" t="s">
        <v>207</v>
      </c>
      <c r="E141" t="s">
        <v>208</v>
      </c>
      <c r="F141" s="16">
        <v>7</v>
      </c>
      <c r="G141" s="16">
        <v>198</v>
      </c>
      <c r="H141" s="16"/>
      <c r="I141" s="16">
        <v>10</v>
      </c>
      <c r="J141" s="16"/>
      <c r="K141" s="16">
        <v>195</v>
      </c>
      <c r="M141">
        <v>147</v>
      </c>
      <c r="N141" s="16">
        <f t="shared" si="6"/>
        <v>195</v>
      </c>
      <c r="O141" s="16">
        <f t="shared" si="7"/>
        <v>0</v>
      </c>
      <c r="P141" t="str">
        <f t="shared" si="8"/>
        <v>OK</v>
      </c>
    </row>
    <row r="142" spans="1:16" x14ac:dyDescent="0.3">
      <c r="A142" s="15">
        <v>46177</v>
      </c>
      <c r="B142" t="s">
        <v>220</v>
      </c>
      <c r="C142" t="s">
        <v>206</v>
      </c>
      <c r="D142" t="s">
        <v>207</v>
      </c>
      <c r="E142" t="s">
        <v>208</v>
      </c>
      <c r="F142" s="16">
        <v>195</v>
      </c>
      <c r="G142" s="16">
        <v>0</v>
      </c>
      <c r="H142" s="16">
        <v>7</v>
      </c>
      <c r="I142" s="16">
        <v>4</v>
      </c>
      <c r="J142" s="16"/>
      <c r="K142" s="16">
        <v>184</v>
      </c>
      <c r="M142">
        <v>148</v>
      </c>
      <c r="N142" s="16">
        <f t="shared" si="6"/>
        <v>184</v>
      </c>
      <c r="O142" s="16">
        <f t="shared" si="7"/>
        <v>0</v>
      </c>
      <c r="P142" t="str">
        <f t="shared" si="8"/>
        <v>OK</v>
      </c>
    </row>
    <row r="143" spans="1:16" x14ac:dyDescent="0.3">
      <c r="A143" s="15">
        <v>46182</v>
      </c>
      <c r="B143" t="s">
        <v>220</v>
      </c>
      <c r="C143" t="s">
        <v>206</v>
      </c>
      <c r="D143" t="s">
        <v>207</v>
      </c>
      <c r="E143" t="s">
        <v>208</v>
      </c>
      <c r="F143" s="16">
        <v>184</v>
      </c>
      <c r="G143" s="16">
        <v>0</v>
      </c>
      <c r="H143" s="16">
        <v>110</v>
      </c>
      <c r="I143" s="16">
        <v>0</v>
      </c>
      <c r="J143" s="16"/>
      <c r="K143" s="16">
        <v>74</v>
      </c>
      <c r="M143">
        <v>149</v>
      </c>
      <c r="N143" s="16">
        <f t="shared" si="6"/>
        <v>74</v>
      </c>
      <c r="O143" s="16">
        <f t="shared" si="7"/>
        <v>0</v>
      </c>
      <c r="P143" t="str">
        <f t="shared" si="8"/>
        <v>OK</v>
      </c>
    </row>
    <row r="144" spans="1:16" x14ac:dyDescent="0.3">
      <c r="A144" s="15">
        <v>46183</v>
      </c>
      <c r="B144" t="s">
        <v>220</v>
      </c>
      <c r="C144" t="s">
        <v>206</v>
      </c>
      <c r="D144" t="s">
        <v>207</v>
      </c>
      <c r="E144" t="s">
        <v>208</v>
      </c>
      <c r="F144" s="16">
        <v>74</v>
      </c>
      <c r="G144" s="16">
        <v>0</v>
      </c>
      <c r="H144" s="16"/>
      <c r="I144" s="16">
        <v>1</v>
      </c>
      <c r="J144" s="16"/>
      <c r="K144" s="16">
        <v>73</v>
      </c>
      <c r="M144">
        <v>150</v>
      </c>
      <c r="N144" s="16">
        <f t="shared" si="6"/>
        <v>73</v>
      </c>
      <c r="O144" s="16">
        <f t="shared" si="7"/>
        <v>0</v>
      </c>
      <c r="P144" t="str">
        <f t="shared" si="8"/>
        <v>OK</v>
      </c>
    </row>
    <row r="145" spans="1:16" x14ac:dyDescent="0.3">
      <c r="A145" s="15">
        <v>46184</v>
      </c>
      <c r="B145" t="s">
        <v>220</v>
      </c>
      <c r="C145" t="s">
        <v>206</v>
      </c>
      <c r="D145" t="s">
        <v>207</v>
      </c>
      <c r="E145" t="s">
        <v>208</v>
      </c>
      <c r="F145" s="16">
        <v>73</v>
      </c>
      <c r="G145" s="16">
        <v>120</v>
      </c>
      <c r="H145" s="16">
        <v>120</v>
      </c>
      <c r="I145" s="16">
        <v>0</v>
      </c>
      <c r="J145" s="16"/>
      <c r="K145" s="16">
        <v>73</v>
      </c>
      <c r="M145">
        <v>151</v>
      </c>
      <c r="N145" s="16">
        <f t="shared" si="6"/>
        <v>73</v>
      </c>
      <c r="O145" s="16">
        <f t="shared" si="7"/>
        <v>0</v>
      </c>
      <c r="P145" t="str">
        <f t="shared" si="8"/>
        <v>OK</v>
      </c>
    </row>
    <row r="146" spans="1:16" x14ac:dyDescent="0.3">
      <c r="A146" s="15">
        <v>46185</v>
      </c>
      <c r="B146" t="s">
        <v>220</v>
      </c>
      <c r="C146" t="s">
        <v>206</v>
      </c>
      <c r="D146" t="s">
        <v>207</v>
      </c>
      <c r="E146" t="s">
        <v>208</v>
      </c>
      <c r="F146" s="16">
        <v>73</v>
      </c>
      <c r="G146" s="16">
        <v>0</v>
      </c>
      <c r="H146" s="16">
        <v>40</v>
      </c>
      <c r="I146" s="16">
        <v>0</v>
      </c>
      <c r="J146" s="16"/>
      <c r="K146" s="16">
        <v>33</v>
      </c>
      <c r="M146">
        <v>152</v>
      </c>
      <c r="N146" s="16">
        <f t="shared" si="6"/>
        <v>33</v>
      </c>
      <c r="O146" s="16">
        <f t="shared" si="7"/>
        <v>0</v>
      </c>
      <c r="P146" t="str">
        <f t="shared" si="8"/>
        <v>OK</v>
      </c>
    </row>
    <row r="147" spans="1:16" x14ac:dyDescent="0.3">
      <c r="A147" s="15">
        <v>46187</v>
      </c>
      <c r="B147" t="s">
        <v>220</v>
      </c>
      <c r="C147" t="s">
        <v>206</v>
      </c>
      <c r="D147" t="s">
        <v>207</v>
      </c>
      <c r="E147" t="s">
        <v>208</v>
      </c>
      <c r="F147" s="16">
        <v>33</v>
      </c>
      <c r="G147" s="16">
        <v>200</v>
      </c>
      <c r="H147" s="16">
        <v>70</v>
      </c>
      <c r="I147" s="16"/>
      <c r="J147" s="16"/>
      <c r="K147" s="16">
        <v>163</v>
      </c>
      <c r="M147">
        <v>153</v>
      </c>
      <c r="N147" s="16">
        <f t="shared" si="6"/>
        <v>163</v>
      </c>
      <c r="O147" s="16">
        <f t="shared" si="7"/>
        <v>0</v>
      </c>
      <c r="P147" t="str">
        <f t="shared" si="8"/>
        <v>OK</v>
      </c>
    </row>
    <row r="148" spans="1:16" x14ac:dyDescent="0.3">
      <c r="A148" s="15">
        <v>46189</v>
      </c>
      <c r="B148" t="s">
        <v>220</v>
      </c>
      <c r="C148" t="s">
        <v>206</v>
      </c>
      <c r="D148" t="s">
        <v>207</v>
      </c>
      <c r="E148" t="s">
        <v>208</v>
      </c>
      <c r="F148" s="16">
        <v>163</v>
      </c>
      <c r="G148" s="16"/>
      <c r="H148" s="16">
        <v>40</v>
      </c>
      <c r="I148" s="16"/>
      <c r="J148" s="16"/>
      <c r="K148" s="16">
        <v>123</v>
      </c>
      <c r="M148">
        <v>154</v>
      </c>
      <c r="N148" s="16">
        <f t="shared" si="6"/>
        <v>123</v>
      </c>
      <c r="O148" s="16">
        <f t="shared" si="7"/>
        <v>0</v>
      </c>
      <c r="P148" t="str">
        <f t="shared" si="8"/>
        <v>OK</v>
      </c>
    </row>
    <row r="149" spans="1:16" x14ac:dyDescent="0.3">
      <c r="A149" s="15">
        <v>46190</v>
      </c>
      <c r="B149" t="s">
        <v>220</v>
      </c>
      <c r="C149" t="s">
        <v>206</v>
      </c>
      <c r="D149" t="s">
        <v>207</v>
      </c>
      <c r="E149" t="s">
        <v>208</v>
      </c>
      <c r="F149" s="16">
        <v>123</v>
      </c>
      <c r="G149" s="16"/>
      <c r="H149" s="16">
        <v>70</v>
      </c>
      <c r="I149" s="16"/>
      <c r="J149" s="16"/>
      <c r="K149" s="16">
        <v>53</v>
      </c>
      <c r="M149">
        <v>155</v>
      </c>
      <c r="N149" s="16">
        <f t="shared" si="6"/>
        <v>53</v>
      </c>
      <c r="O149" s="16">
        <f t="shared" si="7"/>
        <v>0</v>
      </c>
      <c r="P149" t="str">
        <f t="shared" si="8"/>
        <v>OK</v>
      </c>
    </row>
    <row r="150" spans="1:16" x14ac:dyDescent="0.3">
      <c r="A150" s="15">
        <v>46191</v>
      </c>
      <c r="B150" t="s">
        <v>220</v>
      </c>
      <c r="C150" t="s">
        <v>206</v>
      </c>
      <c r="D150" t="s">
        <v>207</v>
      </c>
      <c r="E150" t="s">
        <v>208</v>
      </c>
      <c r="F150" s="16">
        <v>53</v>
      </c>
      <c r="G150" s="16">
        <v>150</v>
      </c>
      <c r="H150" s="16">
        <v>39</v>
      </c>
      <c r="I150" s="16">
        <v>21</v>
      </c>
      <c r="J150" s="16"/>
      <c r="K150" s="16">
        <v>143</v>
      </c>
      <c r="M150">
        <v>156</v>
      </c>
      <c r="N150" s="16">
        <f t="shared" si="6"/>
        <v>143</v>
      </c>
      <c r="O150" s="16">
        <f t="shared" si="7"/>
        <v>0</v>
      </c>
      <c r="P150" t="str">
        <f t="shared" si="8"/>
        <v>OK</v>
      </c>
    </row>
    <row r="151" spans="1:16" x14ac:dyDescent="0.3">
      <c r="A151" s="15">
        <v>46191</v>
      </c>
      <c r="B151" t="s">
        <v>220</v>
      </c>
      <c r="C151" t="s">
        <v>209</v>
      </c>
      <c r="D151" t="s">
        <v>210</v>
      </c>
      <c r="E151" t="s">
        <v>211</v>
      </c>
      <c r="F151" s="16">
        <v>4</v>
      </c>
      <c r="G151" s="16">
        <v>11</v>
      </c>
      <c r="H151" s="16">
        <v>15</v>
      </c>
      <c r="I151" s="16"/>
      <c r="J151" s="16"/>
      <c r="K151" s="16">
        <v>0</v>
      </c>
      <c r="M151">
        <v>157</v>
      </c>
      <c r="N151" s="16">
        <f t="shared" si="6"/>
        <v>0</v>
      </c>
      <c r="O151" s="16">
        <f t="shared" si="7"/>
        <v>0</v>
      </c>
      <c r="P151" t="str">
        <f t="shared" si="8"/>
        <v>OK</v>
      </c>
    </row>
    <row r="152" spans="1:16" x14ac:dyDescent="0.3">
      <c r="A152" s="15">
        <v>46192</v>
      </c>
      <c r="B152" t="s">
        <v>220</v>
      </c>
      <c r="C152" t="s">
        <v>206</v>
      </c>
      <c r="D152" t="s">
        <v>207</v>
      </c>
      <c r="E152" t="s">
        <v>208</v>
      </c>
      <c r="F152" s="16">
        <v>143</v>
      </c>
      <c r="G152" s="16"/>
      <c r="H152" s="16">
        <v>30</v>
      </c>
      <c r="I152" s="16"/>
      <c r="J152" s="16"/>
      <c r="K152" s="16">
        <v>113</v>
      </c>
      <c r="M152">
        <v>158</v>
      </c>
      <c r="N152" s="16">
        <f t="shared" si="6"/>
        <v>113</v>
      </c>
      <c r="O152" s="16">
        <f t="shared" si="7"/>
        <v>0</v>
      </c>
      <c r="P152" t="str">
        <f t="shared" si="8"/>
        <v>OK</v>
      </c>
    </row>
    <row r="153" spans="1:16" x14ac:dyDescent="0.3">
      <c r="A153" s="15">
        <v>46195</v>
      </c>
      <c r="B153" t="s">
        <v>220</v>
      </c>
      <c r="C153" t="s">
        <v>206</v>
      </c>
      <c r="D153" t="s">
        <v>207</v>
      </c>
      <c r="E153" t="s">
        <v>208</v>
      </c>
      <c r="F153" s="16">
        <v>113</v>
      </c>
      <c r="G153" s="16"/>
      <c r="H153" s="16">
        <v>55</v>
      </c>
      <c r="I153" s="16">
        <v>6</v>
      </c>
      <c r="J153" s="16"/>
      <c r="K153" s="16">
        <v>52</v>
      </c>
      <c r="M153">
        <v>159</v>
      </c>
      <c r="N153" s="16">
        <f t="shared" si="6"/>
        <v>52</v>
      </c>
      <c r="O153" s="16">
        <f t="shared" si="7"/>
        <v>0</v>
      </c>
      <c r="P153" t="str">
        <f t="shared" si="8"/>
        <v>OK</v>
      </c>
    </row>
    <row r="154" spans="1:16" x14ac:dyDescent="0.3">
      <c r="A154" s="15">
        <v>46195</v>
      </c>
      <c r="B154" t="s">
        <v>220</v>
      </c>
      <c r="C154" t="s">
        <v>209</v>
      </c>
      <c r="D154" t="s">
        <v>212</v>
      </c>
      <c r="E154" t="s">
        <v>213</v>
      </c>
      <c r="F154" s="16"/>
      <c r="G154" s="16">
        <v>40</v>
      </c>
      <c r="H154" s="16">
        <v>40</v>
      </c>
      <c r="I154" s="16"/>
      <c r="J154" s="16"/>
      <c r="K154" s="16">
        <v>0</v>
      </c>
      <c r="M154">
        <v>160</v>
      </c>
      <c r="N154" s="16">
        <f t="shared" si="6"/>
        <v>0</v>
      </c>
      <c r="O154" s="16">
        <f t="shared" si="7"/>
        <v>0</v>
      </c>
      <c r="P154" t="str">
        <f t="shared" si="8"/>
        <v>OK</v>
      </c>
    </row>
    <row r="155" spans="1:16" x14ac:dyDescent="0.3">
      <c r="A155" s="15">
        <v>46196</v>
      </c>
      <c r="B155" t="s">
        <v>220</v>
      </c>
      <c r="C155" t="s">
        <v>206</v>
      </c>
      <c r="D155" t="s">
        <v>207</v>
      </c>
      <c r="E155" t="s">
        <v>208</v>
      </c>
      <c r="F155" s="16">
        <v>52</v>
      </c>
      <c r="G155" s="16"/>
      <c r="H155" s="16">
        <v>20</v>
      </c>
      <c r="I155" s="16"/>
      <c r="J155" s="16"/>
      <c r="K155" s="16">
        <v>32</v>
      </c>
      <c r="M155">
        <v>161</v>
      </c>
      <c r="N155" s="16">
        <f t="shared" si="6"/>
        <v>32</v>
      </c>
      <c r="O155" s="16">
        <f t="shared" si="7"/>
        <v>0</v>
      </c>
      <c r="P155" t="str">
        <f t="shared" si="8"/>
        <v>OK</v>
      </c>
    </row>
    <row r="156" spans="1:16" x14ac:dyDescent="0.3">
      <c r="A156" s="15">
        <v>46197</v>
      </c>
      <c r="B156" t="s">
        <v>220</v>
      </c>
      <c r="C156" t="s">
        <v>206</v>
      </c>
      <c r="D156" t="s">
        <v>207</v>
      </c>
      <c r="E156" t="s">
        <v>208</v>
      </c>
      <c r="F156" s="16">
        <v>32</v>
      </c>
      <c r="G156" s="16">
        <v>120</v>
      </c>
      <c r="H156" s="16">
        <v>65</v>
      </c>
      <c r="I156" s="16"/>
      <c r="J156" s="16"/>
      <c r="K156" s="16">
        <v>87</v>
      </c>
      <c r="M156">
        <v>162</v>
      </c>
      <c r="N156" s="16">
        <f t="shared" si="6"/>
        <v>87</v>
      </c>
      <c r="O156" s="16">
        <f t="shared" si="7"/>
        <v>0</v>
      </c>
      <c r="P156" t="str">
        <f t="shared" si="8"/>
        <v>OK</v>
      </c>
    </row>
    <row r="157" spans="1:16" x14ac:dyDescent="0.3">
      <c r="A157" s="15">
        <v>46197</v>
      </c>
      <c r="B157" t="s">
        <v>220</v>
      </c>
      <c r="C157" t="s">
        <v>209</v>
      </c>
      <c r="D157" t="s">
        <v>212</v>
      </c>
      <c r="E157" t="s">
        <v>213</v>
      </c>
      <c r="F157" s="16"/>
      <c r="G157" s="16">
        <v>212</v>
      </c>
      <c r="H157" s="16">
        <v>212</v>
      </c>
      <c r="I157" s="16"/>
      <c r="J157" s="16"/>
      <c r="K157" s="16">
        <v>0</v>
      </c>
      <c r="M157">
        <v>163</v>
      </c>
      <c r="N157" s="16">
        <f t="shared" si="6"/>
        <v>0</v>
      </c>
      <c r="O157" s="16">
        <f t="shared" si="7"/>
        <v>0</v>
      </c>
      <c r="P157" t="str">
        <f t="shared" si="8"/>
        <v>OK</v>
      </c>
    </row>
    <row r="158" spans="1:16" x14ac:dyDescent="0.3">
      <c r="A158" s="15">
        <v>46198</v>
      </c>
      <c r="B158" t="s">
        <v>220</v>
      </c>
      <c r="C158" t="s">
        <v>206</v>
      </c>
      <c r="D158" t="s">
        <v>207</v>
      </c>
      <c r="E158" t="s">
        <v>208</v>
      </c>
      <c r="F158" s="16">
        <v>87</v>
      </c>
      <c r="G158" s="16"/>
      <c r="H158" s="16">
        <v>2</v>
      </c>
      <c r="I158" s="16"/>
      <c r="J158" s="16"/>
      <c r="K158" s="16">
        <v>85</v>
      </c>
      <c r="M158">
        <v>164</v>
      </c>
      <c r="N158" s="16">
        <f t="shared" si="6"/>
        <v>85</v>
      </c>
      <c r="O158" s="16">
        <f t="shared" si="7"/>
        <v>0</v>
      </c>
      <c r="P158" t="str">
        <f t="shared" si="8"/>
        <v>OK</v>
      </c>
    </row>
    <row r="159" spans="1:16" x14ac:dyDescent="0.3">
      <c r="A159" s="15">
        <v>46199</v>
      </c>
      <c r="B159" t="s">
        <v>220</v>
      </c>
      <c r="C159" t="s">
        <v>206</v>
      </c>
      <c r="D159" t="s">
        <v>207</v>
      </c>
      <c r="E159" t="s">
        <v>208</v>
      </c>
      <c r="F159" s="16">
        <v>85</v>
      </c>
      <c r="G159" s="16">
        <v>150</v>
      </c>
      <c r="H159" s="16">
        <v>70</v>
      </c>
      <c r="I159" s="16">
        <v>19</v>
      </c>
      <c r="J159" s="16"/>
      <c r="K159" s="16">
        <v>146</v>
      </c>
      <c r="M159">
        <v>165</v>
      </c>
      <c r="N159" s="16">
        <f t="shared" si="6"/>
        <v>146</v>
      </c>
      <c r="O159" s="16">
        <f t="shared" si="7"/>
        <v>0</v>
      </c>
      <c r="P159" t="str">
        <f t="shared" si="8"/>
        <v>OK</v>
      </c>
    </row>
    <row r="160" spans="1:16" x14ac:dyDescent="0.3">
      <c r="A160" s="15">
        <v>46200</v>
      </c>
      <c r="B160" t="s">
        <v>220</v>
      </c>
      <c r="C160" t="s">
        <v>209</v>
      </c>
      <c r="D160" t="s">
        <v>210</v>
      </c>
      <c r="E160" t="s">
        <v>211</v>
      </c>
      <c r="F160" s="16"/>
      <c r="G160" s="16"/>
      <c r="H160" s="16"/>
      <c r="I160" s="16">
        <v>1</v>
      </c>
      <c r="J160" s="16"/>
      <c r="K160" s="16"/>
      <c r="M160">
        <v>166</v>
      </c>
      <c r="N160" s="16">
        <f t="shared" si="6"/>
        <v>-1</v>
      </c>
      <c r="O160" s="16" t="str">
        <f t="shared" si="7"/>
        <v/>
      </c>
      <c r="P160" t="str">
        <f t="shared" si="8"/>
        <v/>
      </c>
    </row>
    <row r="161" spans="1:16" x14ac:dyDescent="0.3">
      <c r="A161" s="15">
        <v>46202</v>
      </c>
      <c r="B161" t="s">
        <v>220</v>
      </c>
      <c r="C161" t="s">
        <v>206</v>
      </c>
      <c r="D161" t="s">
        <v>207</v>
      </c>
      <c r="E161" t="s">
        <v>208</v>
      </c>
      <c r="F161" s="16">
        <v>146</v>
      </c>
      <c r="G161" s="16"/>
      <c r="H161" s="16">
        <v>40</v>
      </c>
      <c r="I161" s="16"/>
      <c r="J161" s="16"/>
      <c r="K161" s="16">
        <v>106</v>
      </c>
      <c r="M161">
        <v>167</v>
      </c>
      <c r="N161" s="16">
        <f t="shared" si="6"/>
        <v>106</v>
      </c>
      <c r="O161" s="16">
        <f t="shared" si="7"/>
        <v>0</v>
      </c>
      <c r="P161" t="str">
        <f t="shared" si="8"/>
        <v>OK</v>
      </c>
    </row>
    <row r="162" spans="1:16" x14ac:dyDescent="0.3">
      <c r="A162" s="15">
        <v>46203</v>
      </c>
      <c r="B162" t="s">
        <v>220</v>
      </c>
      <c r="C162" t="s">
        <v>206</v>
      </c>
      <c r="D162" t="s">
        <v>207</v>
      </c>
      <c r="E162" t="s">
        <v>208</v>
      </c>
      <c r="F162" s="16">
        <v>106</v>
      </c>
      <c r="G162" s="16"/>
      <c r="H162" s="16">
        <v>95</v>
      </c>
      <c r="I162" s="16"/>
      <c r="J162" s="16"/>
      <c r="K162" s="16">
        <v>11</v>
      </c>
      <c r="M162">
        <v>168</v>
      </c>
      <c r="N162" s="16">
        <f t="shared" si="6"/>
        <v>11</v>
      </c>
      <c r="O162" s="16">
        <f t="shared" si="7"/>
        <v>0</v>
      </c>
      <c r="P162" t="str">
        <f t="shared" si="8"/>
        <v>OK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MUKIZA Jean</cp:lastModifiedBy>
  <dcterms:created xsi:type="dcterms:W3CDTF">2026-07-16T12:06:58Z</dcterms:created>
  <dcterms:modified xsi:type="dcterms:W3CDTF">2026-07-26T18:16:49Z</dcterms:modified>
</cp:coreProperties>
</file>